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Findings log" sheetId="2" state="visible" r:id="rId4"/>
    <sheet name="Summary" sheetId="3" state="visible" r:id="rId5"/>
  </sheets>
  <definedNames>
    <definedName function="false" hidden="true" localSheetId="1" name="_xlnm._FilterDatabase" vbProcedure="false">'Findings log'!$A$1:$O$107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<sst xmlns="http://schemas.openxmlformats.org/spreadsheetml/2006/main" count="825" uniqueCount="450">
  <si>
    <t xml:space="preserve">CAC Well-Architected Review: Findings Log</t>
  </si>
  <si>
    <t xml:space="preserve">Purpose</t>
  </si>
  <si>
    <t xml:space="preserve">One row per best practice (BP). During each review session, record the status, evidence, and notes for every BP in the domain under review. Risk if absent and NIST controls are pre-filled from the question bank.</t>
  </si>
  <si>
    <t xml:space="preserve">Source documents</t>
  </si>
  <si>
    <t xml:space="preserve">cac-well-architected-review-questions.md (questions and BP titles); cac-well-architected-review-v2.md (desired outcome, anti-patterns, investigation steps per BP); nist-800-53-to-war-mapping.md (control mapping).</t>
  </si>
  <si>
    <t xml:space="preserve">Review order</t>
  </si>
  <si>
    <t xml:space="preserve">Domains 1 through 8 in the sessions planned for Sprint 2. Domain 9 is deferred to the next cycle unless time allows.</t>
  </si>
  <si>
    <t xml:space="preserve">Pre-filled columns (do not edit)</t>
  </si>
  <si>
    <t xml:space="preserve">Domain #, Domain, Question ID, Question, BP ID, Best practice, Risk if absent, NIST 800-53 controls.</t>
  </si>
  <si>
    <t xml:space="preserve">Columns to fill in (yellow)</t>
  </si>
  <si>
    <t xml:space="preserve">Status, Evidence, Note, Finding severity, Owner, Date reviewed.</t>
  </si>
  <si>
    <t xml:space="preserve">Status values</t>
  </si>
  <si>
    <t xml:space="preserve">Implemented: the BP is in place and evidence confirms it.
Partial: some of the BP is in place; the note says what is missing.
Not implemented: the BP is not in place, OR the team cannot confirm it is. Unknown is recorded as Not implemented.
Not applicable: the BP does not apply to this org; the note says why.</t>
  </si>
  <si>
    <t xml:space="preserve">Evidence</t>
  </si>
  <si>
    <t xml:space="preserve">A link or file reference to what proves the status: Setup screenshot, export, query result, Health Check line, document. Write 'none' if there is nothing. A status of Implemented with no evidence should be questioned.</t>
  </si>
  <si>
    <t xml:space="preserve">Note</t>
  </si>
  <si>
    <t xml:space="preserve">Why the BP is not implemented, whether it is already on the roadmap, what it conflicts with, or what was parked for later discussion. Written for the next reviewer, who may not have been in the room.</t>
  </si>
  <si>
    <t xml:space="preserve">Owner</t>
  </si>
  <si>
    <t xml:space="preserve">The domain sponsor or SME responsible for the follow-up on this row.</t>
  </si>
  <si>
    <t xml:space="preserve">Risk if absent</t>
  </si>
  <si>
    <t xml:space="preserve">Pre-filled from the question bank: the inherent risk if the practice is missing, as written when the question bank was built. Context for the group, not a decision.</t>
  </si>
  <si>
    <t xml:space="preserve">Finding severity</t>
  </si>
  <si>
    <t xml:space="preserve">Set by the review group, only on rows that are findings. High: material security, compliance, or data-loss risk, or blocks a near-term commitment. Medium: operational pain, technical debt, or moderate risk. Low: hygiene. The group may rate a finding differently from Risk if absent; the note should say why.</t>
  </si>
  <si>
    <t xml:space="preserve">Finding</t>
  </si>
  <si>
    <t xml:space="preserve">A row is a finding when Status is Partial or Not implemented. The Finding column computes this. Findings rated High by the group are the first remediation candidates.</t>
  </si>
  <si>
    <t xml:space="preserve">Session discipline</t>
  </si>
  <si>
    <t xml:space="preserve">Ten minutes per question. Record and move on. Design discussions go in the Note as a parking-lot item, not in the session.</t>
  </si>
  <si>
    <t xml:space="preserve">After the review</t>
  </si>
  <si>
    <t xml:space="preserve">Findings feed the consolidated gap list with NIST and incident findings. Tag this file in the repository as the baseline (war-2026-10-baseline) so the next review can diff against it.</t>
  </si>
  <si>
    <t xml:space="preserve">Summary sheet</t>
  </si>
  <si>
    <t xml:space="preserve">Counts by domain and status, and by severity, update automatically from the Findings log. No manual entry.</t>
  </si>
  <si>
    <t xml:space="preserve">Example row</t>
  </si>
  <si>
    <t xml:space="preserve">Row 2 of the Findings log is a filled example. Replace its Status, Evidence, Note, Finding severity, Owner, and Date reviewed values during the real review.</t>
  </si>
  <si>
    <t xml:space="preserve">Domain #</t>
  </si>
  <si>
    <t xml:space="preserve">Domain</t>
  </si>
  <si>
    <t xml:space="preserve">Question ID</t>
  </si>
  <si>
    <t xml:space="preserve">Question</t>
  </si>
  <si>
    <t xml:space="preserve">BP ID</t>
  </si>
  <si>
    <t xml:space="preserve">Best practice</t>
  </si>
  <si>
    <t xml:space="preserve">Risk if absent (question bank)</t>
  </si>
  <si>
    <t xml:space="preserve">NIST 800-53 controls</t>
  </si>
  <si>
    <t xml:space="preserve">Status</t>
  </si>
  <si>
    <t xml:space="preserve">Date reviewed</t>
  </si>
  <si>
    <t xml:space="preserve">Identity and access</t>
  </si>
  <si>
    <t xml:space="preserve">TR-SEC 1</t>
  </si>
  <si>
    <t xml:space="preserve">How do you manage identity and access for users and automated processes?</t>
  </si>
  <si>
    <t xml:space="preserve">TR-SEC1-BP01</t>
  </si>
  <si>
    <t xml:space="preserve">Least-privilege profile and permission set design</t>
  </si>
  <si>
    <t xml:space="preserve">High</t>
  </si>
  <si>
    <t xml:space="preserve">AC-6</t>
  </si>
  <si>
    <t xml:space="preserve">Partial</t>
  </si>
  <si>
    <t xml:space="preserve">Setup &gt; Profiles export 2026-10-09; 14 custom profiles, 3 with Modify All Data</t>
  </si>
  <si>
    <t xml:space="preserve">Permission sets exist but most access still granted via cloned profiles. Roadmapped under Sprint 3 remediation. Example row: replace during review.</t>
  </si>
  <si>
    <t xml:space="preserve">ISSO</t>
  </si>
  <si>
    <t xml:space="preserve">2026-10-09</t>
  </si>
  <si>
    <t xml:space="preserve">TR-SEC1-BP02</t>
  </si>
  <si>
    <t xml:space="preserve">Org-wide defaults and sharing model are deliberately set</t>
  </si>
  <si>
    <t xml:space="preserve">AC-3</t>
  </si>
  <si>
    <t xml:space="preserve">TR-SEC1-BP03</t>
  </si>
  <si>
    <t xml:space="preserve">User lifecycle is managed (provisioning, deprovisioning, review)</t>
  </si>
  <si>
    <t xml:space="preserve">AC-2, IA-4</t>
  </si>
  <si>
    <t xml:space="preserve">TR-SEC 2</t>
  </si>
  <si>
    <t xml:space="preserve">How do you control privileged access?</t>
  </si>
  <si>
    <t xml:space="preserve">TR-SEC2-BP01</t>
  </si>
  <si>
    <t xml:space="preserve">System Administrator access is restricted to a small, documented set of users</t>
  </si>
  <si>
    <t xml:space="preserve">AC-6(5)</t>
  </si>
  <si>
    <t xml:space="preserve">TR-SEC2-BP02</t>
  </si>
  <si>
    <t xml:space="preserve">Integration and API-only users use dedicated accounts with minimum scope</t>
  </si>
  <si>
    <t xml:space="preserve">AC-6, IA-2, IA-4</t>
  </si>
  <si>
    <t xml:space="preserve">TR-SEC2-BP03</t>
  </si>
  <si>
    <t xml:space="preserve">Break-glass / emergency access is defined and controlled</t>
  </si>
  <si>
    <t xml:space="preserve">Medium</t>
  </si>
  <si>
    <t xml:space="preserve">AC-2(7), AC-6(2)</t>
  </si>
  <si>
    <t xml:space="preserve">TR-SEC 4</t>
  </si>
  <si>
    <t xml:space="preserve">How do you authenticate users?</t>
  </si>
  <si>
    <t xml:space="preserve">TR-SEC4-BP01</t>
  </si>
  <si>
    <t xml:space="preserve">MFA is enforced for all interactive logins</t>
  </si>
  <si>
    <t xml:space="preserve">IA-2(1)</t>
  </si>
  <si>
    <t xml:space="preserve">TR-SEC4-BP02</t>
  </si>
  <si>
    <t xml:space="preserve">SSO, if used, is configured securely</t>
  </si>
  <si>
    <t xml:space="preserve">IA-2, IA-8</t>
  </si>
  <si>
    <t xml:space="preserve">TR-SEC4-BP03</t>
  </si>
  <si>
    <t xml:space="preserve">Password policy meets FedRAMP Moderate expectations</t>
  </si>
  <si>
    <t xml:space="preserve">IA-5, AC-7</t>
  </si>
  <si>
    <t xml:space="preserve">TR-SEC 5</t>
  </si>
  <si>
    <t xml:space="preserve">How do you control sessions and network access?</t>
  </si>
  <si>
    <t xml:space="preserve">TR-SEC5-BP01</t>
  </si>
  <si>
    <t xml:space="preserve">Session timeout, secure connection, and cookie settings match data sensitivity</t>
  </si>
  <si>
    <t xml:space="preserve">AC-12, SC-8, SC-23, AC-11, SC-10, IA-11</t>
  </si>
  <si>
    <t xml:space="preserve">TR-SEC5-BP02</t>
  </si>
  <si>
    <t xml:space="preserve">Login IP ranges and login hours are configured for sensitive profiles</t>
  </si>
  <si>
    <t xml:space="preserve">AC-2, AC-17</t>
  </si>
  <si>
    <t xml:space="preserve">TR-SEC5-BP03</t>
  </si>
  <si>
    <t xml:space="preserve">Mobile access is governed</t>
  </si>
  <si>
    <t xml:space="preserve">AC-19, AC-17</t>
  </si>
  <si>
    <t xml:space="preserve">TR-SEC 10</t>
  </si>
  <si>
    <t xml:space="preserve">How do you separate duties across administration, development, and deployment?</t>
  </si>
  <si>
    <t xml:space="preserve">TR-SEC10-BP01</t>
  </si>
  <si>
    <t xml:space="preserve">Change authors, approvers, and deployers are different people</t>
  </si>
  <si>
    <t xml:space="preserve">AC-5, CM-5</t>
  </si>
  <si>
    <t xml:space="preserve">TR-SEC10-BP02</t>
  </si>
  <si>
    <t xml:space="preserve">A system use notification is displayed at login</t>
  </si>
  <si>
    <t xml:space="preserve">AC-8</t>
  </si>
  <si>
    <t xml:space="preserve">External exposure and integration</t>
  </si>
  <si>
    <t xml:space="preserve">TR-SEC 13</t>
  </si>
  <si>
    <t xml:space="preserve">How do you control public and guest access?</t>
  </si>
  <si>
    <t xml:space="preserve">TR-SEC13-BP01</t>
  </si>
  <si>
    <t xml:space="preserve">Guest user profiles hold the minimum permissions and sharing</t>
  </si>
  <si>
    <t xml:space="preserve">AC-14, AC-22, AC-3</t>
  </si>
  <si>
    <t xml:space="preserve">TR-SEC13-BP02</t>
  </si>
  <si>
    <t xml:space="preserve">Site security settings are hardened</t>
  </si>
  <si>
    <t xml:space="preserve">AC-14, SC-7, SC-8, SI-11, IA-8</t>
  </si>
  <si>
    <t xml:space="preserve">TR-SEC13-BP03</t>
  </si>
  <si>
    <t xml:space="preserve">Public intake forms validate input and collect the minimum</t>
  </si>
  <si>
    <t xml:space="preserve">SI-10, AC-22, SC-5</t>
  </si>
  <si>
    <t xml:space="preserve">TR-SEC13-BP04</t>
  </si>
  <si>
    <t xml:space="preserve">Uploaded files are restricted by type and size and scanned where possible</t>
  </si>
  <si>
    <t xml:space="preserve">SI-3, SI-10</t>
  </si>
  <si>
    <t xml:space="preserve">TR-SEC 3</t>
  </si>
  <si>
    <t xml:space="preserve">How do you manage Connected Apps and API access?</t>
  </si>
  <si>
    <t xml:space="preserve">TR-SEC3-BP01</t>
  </si>
  <si>
    <t xml:space="preserve">Connected Apps are inventoried and scoped minimally</t>
  </si>
  <si>
    <t xml:space="preserve">AC-3, AC-4</t>
  </si>
  <si>
    <t xml:space="preserve">TR-SEC3-BP02</t>
  </si>
  <si>
    <t xml:space="preserve">Credentials for outbound integrations are stored in Named Credentials or External Credentials</t>
  </si>
  <si>
    <t xml:space="preserve">IA-5(7)</t>
  </si>
  <si>
    <t xml:space="preserve">TR-SEC 14</t>
  </si>
  <si>
    <t xml:space="preserve">How do you harden browser-facing security settings?</t>
  </si>
  <si>
    <t xml:space="preserve">TR-SEC14-BP01</t>
  </si>
  <si>
    <t xml:space="preserve">Session Settings browser protections are enabled and CSP and CORS allowlists are minimal</t>
  </si>
  <si>
    <t xml:space="preserve">SC-7, SC-18, SI-10</t>
  </si>
  <si>
    <t xml:space="preserve">TR-SEC14-BP02</t>
  </si>
  <si>
    <t xml:space="preserve">Outbound email from the org is authenticated</t>
  </si>
  <si>
    <t xml:space="preserve">Low</t>
  </si>
  <si>
    <t xml:space="preserve">SC-8</t>
  </si>
  <si>
    <t xml:space="preserve">TR-COM 3</t>
  </si>
  <si>
    <t xml:space="preserve">How do you handle the FedRAMP authorization boundary as the org changes?</t>
  </si>
  <si>
    <t xml:space="preserve">TR-COM3-BP01</t>
  </si>
  <si>
    <t xml:space="preserve">Changes that may affect the authorization boundary are reviewed before deployment</t>
  </si>
  <si>
    <t xml:space="preserve">CA-3, CA-9, SA-9, CM-10, CM-11, AC-20</t>
  </si>
  <si>
    <t xml:space="preserve">TR-COM3-BP02</t>
  </si>
  <si>
    <t xml:space="preserve">Installed packages and integrations are inventoried and reviewed periodically</t>
  </si>
  <si>
    <t xml:space="preserve">CM-8, SA-9</t>
  </si>
  <si>
    <t xml:space="preserve">AD-CMP 2</t>
  </si>
  <si>
    <t xml:space="preserve">How do you make integrations clean and reusable?</t>
  </si>
  <si>
    <t xml:space="preserve">AD-CMP2-BP01</t>
  </si>
  <si>
    <t xml:space="preserve">Integrations follow consistent patterns</t>
  </si>
  <si>
    <t xml:space="preserve">—</t>
  </si>
  <si>
    <t xml:space="preserve">AD-CMP2-BP02</t>
  </si>
  <si>
    <t xml:space="preserve">Custom Apex APIs are versioned and documented</t>
  </si>
  <si>
    <t xml:space="preserve">AD-CMP2-BP03</t>
  </si>
  <si>
    <t xml:space="preserve">Platform Events and Change Data Capture are used where they fit</t>
  </si>
  <si>
    <t xml:space="preserve">Data protection</t>
  </si>
  <si>
    <t xml:space="preserve">TR-SEC 6</t>
  </si>
  <si>
    <t xml:space="preserve">How do you enforce field-level and object-level access?</t>
  </si>
  <si>
    <t xml:space="preserve">TR-SEC6-BP01</t>
  </si>
  <si>
    <t xml:space="preserve">Field-level security restricts sensitive fields appropriately</t>
  </si>
  <si>
    <t xml:space="preserve">TR-SEC6-BP02</t>
  </si>
  <si>
    <t xml:space="preserve">Apex enforces sharing, CRUD, and FLS</t>
  </si>
  <si>
    <t xml:space="preserve">TR-SEC 7</t>
  </si>
  <si>
    <t xml:space="preserve">How do you protect data at rest and in transit?</t>
  </si>
  <si>
    <t xml:space="preserve">TR-SEC7-BP01</t>
  </si>
  <si>
    <t xml:space="preserve">Sensitive data is classified and inventoried</t>
  </si>
  <si>
    <t xml:space="preserve">RA-2, SC-16, CM-12</t>
  </si>
  <si>
    <t xml:space="preserve">TR-SEC7-BP02</t>
  </si>
  <si>
    <t xml:space="preserve">Encryption in transit uses current TLS</t>
  </si>
  <si>
    <t xml:space="preserve">SC-8, SC-13</t>
  </si>
  <si>
    <t xml:space="preserve">TR-SEC7-BP03</t>
  </si>
  <si>
    <t xml:space="preserve">Encryption at rest beyond the platform default</t>
  </si>
  <si>
    <t xml:space="preserve">SC-13, SC-28</t>
  </si>
  <si>
    <t xml:space="preserve">TR-SEC7-BP04</t>
  </si>
  <si>
    <t xml:space="preserve">Certificates and keys are inventoried, owned, and rotated before expiry</t>
  </si>
  <si>
    <t xml:space="preserve">SC-17, SC-12, IA-5(2)</t>
  </si>
  <si>
    <t xml:space="preserve">TR-SEC 11</t>
  </si>
  <si>
    <t xml:space="preserve">How do you control the surfaces through which data leaves the sharing model?</t>
  </si>
  <si>
    <t xml:space="preserve">TR-SEC11-BP01</t>
  </si>
  <si>
    <t xml:space="preserve">Report and dashboard folders are shared deliberately and dashboards run as an appropriate user</t>
  </si>
  <si>
    <t xml:space="preserve">AC-3, AC-21</t>
  </si>
  <si>
    <t xml:space="preserve">TR-SEC11-BP02</t>
  </si>
  <si>
    <t xml:space="preserve">List views on PII-bearing objects are not visible to all users unnecessarily</t>
  </si>
  <si>
    <t xml:space="preserve">TR-SEC11-BP03</t>
  </si>
  <si>
    <t xml:space="preserve">Files and attachments cannot be exposed through public links or over-broad sharing</t>
  </si>
  <si>
    <t xml:space="preserve">AC-21, AC-22</t>
  </si>
  <si>
    <t xml:space="preserve">TR-SEC11-BP04</t>
  </si>
  <si>
    <t xml:space="preserve">Outbound email does not carry more PII than necessary</t>
  </si>
  <si>
    <t xml:space="preserve">AC-21, SC-8, SI-8</t>
  </si>
  <si>
    <t xml:space="preserve">TR-SEC11-BP05</t>
  </si>
  <si>
    <t xml:space="preserve">Bulk export capability is limited and inventoried</t>
  </si>
  <si>
    <t xml:space="preserve">AC-6, AC-21</t>
  </si>
  <si>
    <t xml:space="preserve">TR-SEC 12</t>
  </si>
  <si>
    <t xml:space="preserve">How do you protect production data outside production?</t>
  </si>
  <si>
    <t xml:space="preserve">TR-SEC12-BP01</t>
  </si>
  <si>
    <t xml:space="preserve">Production PII in sandboxes is masked, minimized, or access-restricted</t>
  </si>
  <si>
    <t xml:space="preserve">AC-3, AC-6, SA-3(2), CM-12</t>
  </si>
  <si>
    <t xml:space="preserve">TR-SEC12-BP02</t>
  </si>
  <si>
    <t xml:space="preserve">Debug logs and trace flags do not become a PII store</t>
  </si>
  <si>
    <t xml:space="preserve">AU-9, SI-12</t>
  </si>
  <si>
    <t xml:space="preserve">TR-COM 4</t>
  </si>
  <si>
    <t xml:space="preserve">How do you manage records retention and deletion?</t>
  </si>
  <si>
    <t xml:space="preserve">TR-COM4-BP01</t>
  </si>
  <si>
    <t xml:space="preserve">Records retention obligations are mapped to platform behavior</t>
  </si>
  <si>
    <t xml:space="preserve">AU-11, SI-12, MP-6</t>
  </si>
  <si>
    <t xml:space="preserve">TR-COM4-BP02</t>
  </si>
  <si>
    <t xml:space="preserve">Right-to-deletion / data subject requests can be honored</t>
  </si>
  <si>
    <t xml:space="preserve">SI-12, IP-6</t>
  </si>
  <si>
    <t xml:space="preserve">Application security</t>
  </si>
  <si>
    <t xml:space="preserve">TR-SEC 8</t>
  </si>
  <si>
    <t xml:space="preserve">How do you secure custom code beyond sharing/FLS?</t>
  </si>
  <si>
    <t xml:space="preserve">TR-SEC8-BP01</t>
  </si>
  <si>
    <t xml:space="preserve">Dynamic SOQL is parameterized or escaped</t>
  </si>
  <si>
    <t xml:space="preserve">SI-10</t>
  </si>
  <si>
    <t xml:space="preserve">TR-SEC8-BP02</t>
  </si>
  <si>
    <t xml:space="preserve">LWC and Aura components avoid unsafe DOM and data exposure patterns</t>
  </si>
  <si>
    <t xml:space="preserve">TR-SEC 15</t>
  </si>
  <si>
    <t xml:space="preserve">How do you secure Visualforce and Classic-era customizations?</t>
  </si>
  <si>
    <t xml:space="preserve">TR-SEC15-BP01</t>
  </si>
  <si>
    <t xml:space="preserve">Visualforce pages escape output and validate parameters</t>
  </si>
  <si>
    <t xml:space="preserve">SI-10, AC-3</t>
  </si>
  <si>
    <t xml:space="preserve">TR-SEC15-BP02</t>
  </si>
  <si>
    <t xml:space="preserve">Third-party JavaScript libraries are inventoried, current, and free of known vulnerabilities</t>
  </si>
  <si>
    <t xml:space="preserve">SI-2, SA-22, RA-5</t>
  </si>
  <si>
    <t xml:space="preserve">TR-SEC15-BP03</t>
  </si>
  <si>
    <t xml:space="preserve">Errors shown to users do not leak internal detail</t>
  </si>
  <si>
    <t xml:space="preserve">SI-11</t>
  </si>
  <si>
    <t xml:space="preserve">TR-REL 2</t>
  </si>
  <si>
    <t xml:space="preserve">How do you stay ahead of governor limits and platform constraints?</t>
  </si>
  <si>
    <t xml:space="preserve">TR-REL2-BP01</t>
  </si>
  <si>
    <t xml:space="preserve">API and async limit usage is monitored against allocation</t>
  </si>
  <si>
    <t xml:space="preserve">SC-5</t>
  </si>
  <si>
    <t xml:space="preserve">TR-REL2-BP02</t>
  </si>
  <si>
    <t xml:space="preserve">Apex and SOQL respect bulk patterns and governor limits</t>
  </si>
  <si>
    <t xml:space="preserve">TR-REL 3</t>
  </si>
  <si>
    <t xml:space="preserve">How do you handle errors and failures in automation and integrations?</t>
  </si>
  <si>
    <t xml:space="preserve">TR-REL3-BP01</t>
  </si>
  <si>
    <t xml:space="preserve">Apex and Flow have defined error handling and surfacing</t>
  </si>
  <si>
    <t xml:space="preserve">TR-REL3-BP02</t>
  </si>
  <si>
    <t xml:space="preserve">Inbound and outbound integrations have retry, idempotency, and timeout handling</t>
  </si>
  <si>
    <t xml:space="preserve">TR-REL3-BP03</t>
  </si>
  <si>
    <t xml:space="preserve">Asynchronous failures (Queueable, Batch, Platform Events) are detected and handled</t>
  </si>
  <si>
    <t xml:space="preserve">Logging, monitoring, and detection</t>
  </si>
  <si>
    <t xml:space="preserve">TR-SEC 9</t>
  </si>
  <si>
    <t xml:space="preserve">How do you detect security events and maintain an audit trail?</t>
  </si>
  <si>
    <t xml:space="preserve">TR-SEC9-BP01</t>
  </si>
  <si>
    <t xml:space="preserve">Setup Audit Trail is exported and reviewed on a defined cadence</t>
  </si>
  <si>
    <t xml:space="preserve">AU-2, AU-6</t>
  </si>
  <si>
    <t xml:space="preserve">TR-SEC9-BP02</t>
  </si>
  <si>
    <t xml:space="preserve">Field History Tracking is enabled on sensitive fields</t>
  </si>
  <si>
    <t xml:space="preserve">AU-2</t>
  </si>
  <si>
    <t xml:space="preserve">TR-SEC9-BP03</t>
  </si>
  <si>
    <t xml:space="preserve">Long-term audit retention beyond 18 months</t>
  </si>
  <si>
    <t xml:space="preserve">AU-11</t>
  </si>
  <si>
    <t xml:space="preserve">TR-SEC9-BP04</t>
  </si>
  <si>
    <t xml:space="preserve">Real-time security event detection</t>
  </si>
  <si>
    <t xml:space="preserve">AU-2, AU-6, SI-4, IR-5</t>
  </si>
  <si>
    <t xml:space="preserve">TR-SEC 16</t>
  </si>
  <si>
    <t xml:space="preserve">How do you protect and act on security records and advisories?</t>
  </si>
  <si>
    <t xml:space="preserve">TR-SEC16-BP01</t>
  </si>
  <si>
    <t xml:space="preserve">Exported audit records are protected and retained</t>
  </si>
  <si>
    <t xml:space="preserve">AU-9, AU-11</t>
  </si>
  <si>
    <t xml:space="preserve">TR-SEC16-BP02</t>
  </si>
  <si>
    <t xml:space="preserve">Security advisories and Trust notifications reach a named owner</t>
  </si>
  <si>
    <t xml:space="preserve">SI-5</t>
  </si>
  <si>
    <t xml:space="preserve">TR-REL 1</t>
  </si>
  <si>
    <t xml:space="preserve">How do you know the org is healthy?</t>
  </si>
  <si>
    <t xml:space="preserve">TR-REL1-BP01</t>
  </si>
  <si>
    <t xml:space="preserve">Salesforce Health Check is run and tracked</t>
  </si>
  <si>
    <t xml:space="preserve">CM-6, RA-5</t>
  </si>
  <si>
    <t xml:space="preserve">TR-REL1-BP02</t>
  </si>
  <si>
    <t xml:space="preserve">Salesforce Optimizer is run and reviewed</t>
  </si>
  <si>
    <t xml:space="preserve">TR-REL 5</t>
  </si>
  <si>
    <t xml:space="preserve">How do you observe what the org is doing in production?</t>
  </si>
  <si>
    <t xml:space="preserve">TR-REL5-BP01</t>
  </si>
  <si>
    <t xml:space="preserve">Login, API, and integration activity is monitored</t>
  </si>
  <si>
    <t xml:space="preserve">AU-6, SI-4</t>
  </si>
  <si>
    <t xml:space="preserve">TR-REL5-BP02</t>
  </si>
  <si>
    <t xml:space="preserve">Alerts exist for failures that affect users or the business</t>
  </si>
  <si>
    <t xml:space="preserve">IR-4, SI-4</t>
  </si>
  <si>
    <t xml:space="preserve">Change and configuration management</t>
  </si>
  <si>
    <t xml:space="preserve">TR-REL 6</t>
  </si>
  <si>
    <t xml:space="preserve">How do you manage environments and releases?</t>
  </si>
  <si>
    <t xml:space="preserve">TR-REL6-BP01</t>
  </si>
  <si>
    <t xml:space="preserve">Sandbox strategy supports the release cadence</t>
  </si>
  <si>
    <t xml:space="preserve">TR-REL6-BP02</t>
  </si>
  <si>
    <t xml:space="preserve">Releases follow a defined process with rollback capability</t>
  </si>
  <si>
    <t xml:space="preserve">CM-3</t>
  </si>
  <si>
    <t xml:space="preserve">AD-RES 1</t>
  </si>
  <si>
    <t xml:space="preserve">How do you manage the application lifecycle from change to production?</t>
  </si>
  <si>
    <t xml:space="preserve">AD-RES1-BP01</t>
  </si>
  <si>
    <t xml:space="preserve">A defined CI/CD or release pipeline moves changes from source to production</t>
  </si>
  <si>
    <t xml:space="preserve">CM-2, CM-3</t>
  </si>
  <si>
    <t xml:space="preserve">AD-RES1-BP02</t>
  </si>
  <si>
    <t xml:space="preserve">Apex test coverage is meaningful, not just sufficient</t>
  </si>
  <si>
    <t xml:space="preserve">SA-11</t>
  </si>
  <si>
    <t xml:space="preserve">AD-RES1-BP03</t>
  </si>
  <si>
    <t xml:space="preserve">Metadata source-of-truth conflicts are detected</t>
  </si>
  <si>
    <t xml:space="preserve">AD-RES 4</t>
  </si>
  <si>
    <t xml:space="preserve">How do you analyze and restrict changes before they reach production?</t>
  </si>
  <si>
    <t xml:space="preserve">AD-RES4-BP01</t>
  </si>
  <si>
    <t xml:space="preserve">Security impact analysis precedes production changes</t>
  </si>
  <si>
    <t xml:space="preserve">CM-4</t>
  </si>
  <si>
    <t xml:space="preserve">AD-RES4-BP02</t>
  </si>
  <si>
    <t xml:space="preserve">Production change access is restricted to the pipeline and a minimal set of admins</t>
  </si>
  <si>
    <t xml:space="preserve">CM-5, AC-6</t>
  </si>
  <si>
    <t xml:space="preserve">AD-RES4-BP03</t>
  </si>
  <si>
    <t xml:space="preserve">Unused platform features and settings are disabled</t>
  </si>
  <si>
    <t xml:space="preserve">CM-7</t>
  </si>
  <si>
    <t xml:space="preserve">AD-RES4-BP04</t>
  </si>
  <si>
    <t xml:space="preserve">A configuration management plan names the baseline, roles, and change process</t>
  </si>
  <si>
    <t xml:space="preserve">CM-9, CM-2, CM-3</t>
  </si>
  <si>
    <t xml:space="preserve">AD-CMP 3</t>
  </si>
  <si>
    <t xml:space="preserve">How do you package and deploy customizations as cohesive units?</t>
  </si>
  <si>
    <t xml:space="preserve">AD-CMP3-BP01</t>
  </si>
  <si>
    <t xml:space="preserve">Metadata is grouped into deployable units that match logical boundaries</t>
  </si>
  <si>
    <t xml:space="preserve">AD-CMP3-BP02</t>
  </si>
  <si>
    <t xml:space="preserve">Managed package dependencies are inventoried and governed</t>
  </si>
  <si>
    <t xml:space="preserve">CM-8, SA-22</t>
  </si>
  <si>
    <t xml:space="preserve">EZ-INT 2</t>
  </si>
  <si>
    <t xml:space="preserve">How do you keep the customization surface maintainable?</t>
  </si>
  <si>
    <t xml:space="preserve">EZ-INT2-BP01</t>
  </si>
  <si>
    <t xml:space="preserve">Unused customization is identified and removed</t>
  </si>
  <si>
    <t xml:space="preserve">EZ-INT2-BP02</t>
  </si>
  <si>
    <t xml:space="preserve">Workflow Rules and Process Builder are migrated to Flow</t>
  </si>
  <si>
    <t xml:space="preserve">SA-22</t>
  </si>
  <si>
    <t xml:space="preserve">EZ-INT2-BP03</t>
  </si>
  <si>
    <t xml:space="preserve">Naming conventions and metadata hygiene are enforced</t>
  </si>
  <si>
    <t xml:space="preserve">Resilience and recovery</t>
  </si>
  <si>
    <t xml:space="preserve">TR-REL 4</t>
  </si>
  <si>
    <t xml:space="preserve">How do you back up and recover org data and metadata?</t>
  </si>
  <si>
    <t xml:space="preserve">TR-REL4-BP01</t>
  </si>
  <si>
    <t xml:space="preserve">A current data backup capability exists and is tested</t>
  </si>
  <si>
    <t xml:space="preserve">CP-9, CP-10, CP-4</t>
  </si>
  <si>
    <t xml:space="preserve">TR-REL4-BP02</t>
  </si>
  <si>
    <t xml:space="preserve">Metadata is version-controlled and recoverable independently of the org</t>
  </si>
  <si>
    <t xml:space="preserve">TR-REL 7</t>
  </si>
  <si>
    <t xml:space="preserve">How do you protect the backup copy itself?</t>
  </si>
  <si>
    <t xml:space="preserve">TR-REL7-BP01</t>
  </si>
  <si>
    <t xml:space="preserve">Backup data is encrypted, access-controlled, and inside the authorization boundary</t>
  </si>
  <si>
    <t xml:space="preserve">CP-9(8), SC-28, CA-3, SA-9, CM-12, AC-20</t>
  </si>
  <si>
    <t xml:space="preserve">AD-RES 2</t>
  </si>
  <si>
    <t xml:space="preserve">How do you respond to incidents?</t>
  </si>
  <si>
    <t xml:space="preserve">AD-RES2-BP01</t>
  </si>
  <si>
    <t xml:space="preserve">A documented incident response process exists and is exercised</t>
  </si>
  <si>
    <t xml:space="preserve">IR-4, IR-8, IR-2, IR-3</t>
  </si>
  <si>
    <t xml:space="preserve">AD-RES2-BP02</t>
  </si>
  <si>
    <t xml:space="preserve">Salesforce-specific incident escalation paths are known</t>
  </si>
  <si>
    <t xml:space="preserve">AD-RES 5</t>
  </si>
  <si>
    <t xml:space="preserve">How do you meet incident reporting obligations?</t>
  </si>
  <si>
    <t xml:space="preserve">AD-RES5-BP01</t>
  </si>
  <si>
    <t xml:space="preserve">Reporting obligations and timelines are defined for security and PII incidents</t>
  </si>
  <si>
    <t xml:space="preserve">IR-6, IR-8</t>
  </si>
  <si>
    <t xml:space="preserve">AD-RES 3</t>
  </si>
  <si>
    <t xml:space="preserve">How do you plan for continuity beyond individual incidents?</t>
  </si>
  <si>
    <t xml:space="preserve">AD-RES3-BP01</t>
  </si>
  <si>
    <t xml:space="preserve">Business continuity assumptions about Salesforce are documented and tested</t>
  </si>
  <si>
    <t xml:space="preserve">CP-2, CP-9, CP-10</t>
  </si>
  <si>
    <t xml:space="preserve">AD-RES3-BP02</t>
  </si>
  <si>
    <t xml:space="preserve">Knowledge of the org is not concentrated in one person</t>
  </si>
  <si>
    <t xml:space="preserve">Compliance and governance</t>
  </si>
  <si>
    <t xml:space="preserve">TR-COM 1</t>
  </si>
  <si>
    <t xml:space="preserve">How do you identify and track the regulatory and contractual obligations that apply to this org?</t>
  </si>
  <si>
    <t xml:space="preserve">TR-COM1-BP01</t>
  </si>
  <si>
    <t xml:space="preserve">Applicable obligations are inventoried and assigned an owner</t>
  </si>
  <si>
    <t xml:space="preserve">PM-9, CA-2</t>
  </si>
  <si>
    <t xml:space="preserve">TR-COM1-BP02</t>
  </si>
  <si>
    <t xml:space="preserve">The Customer Responsibility Matrix (CRM) is reviewed and acted on</t>
  </si>
  <si>
    <t xml:space="preserve">CA-2, CA-3</t>
  </si>
  <si>
    <t xml:space="preserve">TR-COM 2</t>
  </si>
  <si>
    <t xml:space="preserve">How do you maintain evidence that customer-responsible controls are implemented?</t>
  </si>
  <si>
    <t xml:space="preserve">TR-COM2-BP01</t>
  </si>
  <si>
    <t xml:space="preserve">Evidence for each customer-responsible control is current and accessible</t>
  </si>
  <si>
    <t xml:space="preserve">CA-7, AU-6</t>
  </si>
  <si>
    <t xml:space="preserve">TR-COM2-BP02</t>
  </si>
  <si>
    <t xml:space="preserve">Continuous monitoring activities are defined and performed</t>
  </si>
  <si>
    <t xml:space="preserve">CA-7, AU-6, SI-4</t>
  </si>
  <si>
    <t xml:space="preserve">TR-COM 5</t>
  </si>
  <si>
    <t xml:space="preserve">How do you meet accessibility obligations?</t>
  </si>
  <si>
    <t xml:space="preserve">TR-COM5-BP01</t>
  </si>
  <si>
    <t xml:space="preserve">Custom UI meets Section 508 / WCAG 2.1 AA</t>
  </si>
  <si>
    <t xml:space="preserve">TR-COM5-BP02</t>
  </si>
  <si>
    <t xml:space="preserve">Salesforce VPATs for the in-use products are obtained and reviewed</t>
  </si>
  <si>
    <t xml:space="preserve">TR-COM 6</t>
  </si>
  <si>
    <t xml:space="preserve">How do you manage ethical and policy-driven obligations beyond regulation?</t>
  </si>
  <si>
    <t xml:space="preserve">TR-COM6-BP01</t>
  </si>
  <si>
    <t xml:space="preserve">Internal data-use and ethics policies are reflected in platform configuration</t>
  </si>
  <si>
    <t xml:space="preserve">EZ-INT 1</t>
  </si>
  <si>
    <t xml:space="preserve">How do you maintain a clear architectural strategy for the org?</t>
  </si>
  <si>
    <t xml:space="preserve">EZ-INT1-BP01</t>
  </si>
  <si>
    <t xml:space="preserve">A current architectural overview exists</t>
  </si>
  <si>
    <t xml:space="preserve">EZ-INT1-BP02</t>
  </si>
  <si>
    <t xml:space="preserve">Build-vs-configure decisions follow a defined heuristic</t>
  </si>
  <si>
    <t xml:space="preserve">Maintainability and usability</t>
  </si>
  <si>
    <t xml:space="preserve">EZ-INT 3</t>
  </si>
  <si>
    <t xml:space="preserve">How do you keep automation and code readable?</t>
  </si>
  <si>
    <t xml:space="preserve">EZ-INT3-BP01</t>
  </si>
  <si>
    <t xml:space="preserve">Apex follows a documented style and structure</t>
  </si>
  <si>
    <t xml:space="preserve">EZ-INT3-BP02</t>
  </si>
  <si>
    <t xml:space="preserve">Flows are structured for readability</t>
  </si>
  <si>
    <t xml:space="preserve">EZ-AUT 1</t>
  </si>
  <si>
    <t xml:space="preserve">How do you automate routine work efficiently?</t>
  </si>
  <si>
    <t xml:space="preserve">EZ-AUT1-BP01</t>
  </si>
  <si>
    <t xml:space="preserve">Manual administrative work has been identified and reduced</t>
  </si>
  <si>
    <t xml:space="preserve">EZ-AUT1-BP02</t>
  </si>
  <si>
    <t xml:space="preserve">Automation overlaps and conflicts are mapped</t>
  </si>
  <si>
    <t xml:space="preserve">EZ-AUT 2</t>
  </si>
  <si>
    <t xml:space="preserve">How do you keep data clean and trustworthy?</t>
  </si>
  <si>
    <t xml:space="preserve">EZ-AUT2-BP01</t>
  </si>
  <si>
    <t xml:space="preserve">Validation rules enforce data quality at entry</t>
  </si>
  <si>
    <t xml:space="preserve">EZ-AUT2-BP02</t>
  </si>
  <si>
    <t xml:space="preserve">Duplicate management rules are configured and active</t>
  </si>
  <si>
    <t xml:space="preserve">EZ-AUT2-BP03</t>
  </si>
  <si>
    <t xml:space="preserve">Data cleanup runs as a defined process, not as crisis response</t>
  </si>
  <si>
    <t xml:space="preserve">EZ-ENG 1</t>
  </si>
  <si>
    <t xml:space="preserve">How do you keep the user experience focused and efficient?</t>
  </si>
  <si>
    <t xml:space="preserve">EZ-ENG1-BP01</t>
  </si>
  <si>
    <t xml:space="preserve">Page layouts and Lightning record pages match how users actually work</t>
  </si>
  <si>
    <t xml:space="preserve">EZ-ENG1-BP02</t>
  </si>
  <si>
    <t xml:space="preserve">Navigation and app structure match user mental models</t>
  </si>
  <si>
    <t xml:space="preserve">EZ-ENG 2</t>
  </si>
  <si>
    <t xml:space="preserve">How do you help users succeed in the moment?</t>
  </si>
  <si>
    <t xml:space="preserve">EZ-ENG2-BP01</t>
  </si>
  <si>
    <t xml:space="preserve">In-app guidance is used where it reduces support load</t>
  </si>
  <si>
    <t xml:space="preserve">EZ-ENG2-BP02</t>
  </si>
  <si>
    <t xml:space="preserve">Error messages and validation feedback are useful to the user</t>
  </si>
  <si>
    <t xml:space="preserve">AD-CMP 1</t>
  </si>
  <si>
    <t xml:space="preserve">How do you keep concerns separated in the org?</t>
  </si>
  <si>
    <t xml:space="preserve">AD-CMP1-BP01</t>
  </si>
  <si>
    <t xml:space="preserve">Apex follows a layered structure (service / selector / domain / trigger handler)</t>
  </si>
  <si>
    <t xml:space="preserve">AD-CMP1-BP02</t>
  </si>
  <si>
    <t xml:space="preserve">Automation responsibility per object is consolidated and clear</t>
  </si>
  <si>
    <t xml:space="preserve">Findings by domain</t>
  </si>
  <si>
    <t xml:space="preserve">BPs</t>
  </si>
  <si>
    <t xml:space="preserve">Implemented</t>
  </si>
  <si>
    <t xml:space="preserve">Not implemented</t>
  </si>
  <si>
    <t xml:space="preserve">Not applicable</t>
  </si>
  <si>
    <t xml:space="preserve">Not yet reviewed</t>
  </si>
  <si>
    <t xml:space="preserve">Findings</t>
  </si>
  <si>
    <t xml:space="preserve">1. Identity and access</t>
  </si>
  <si>
    <t xml:space="preserve">2. External exposure and integration</t>
  </si>
  <si>
    <t xml:space="preserve">3. Data protection</t>
  </si>
  <si>
    <t xml:space="preserve">4. Application security</t>
  </si>
  <si>
    <t xml:space="preserve">5. Logging, monitoring, and detection</t>
  </si>
  <si>
    <t xml:space="preserve">6. Change and configuration management</t>
  </si>
  <si>
    <t xml:space="preserve">7. Resilience and recovery</t>
  </si>
  <si>
    <t xml:space="preserve">8. Compliance and governance</t>
  </si>
  <si>
    <t xml:space="preserve">9. Maintainability and usability</t>
  </si>
  <si>
    <t xml:space="preserve">Total</t>
  </si>
  <si>
    <t xml:space="preserve">Findings by severity</t>
  </si>
  <si>
    <t xml:space="preserve">Finding severity (set by review group)</t>
  </si>
  <si>
    <t xml:space="preserve">Highest priority: findings rated High by the review group</t>
  </si>
  <si>
    <t xml:space="preserve">All counts update from the Findings log. No manual entry on this sheet.</t>
  </si>
</sst>
</file>

<file path=xl/styles.xml><?xml version="1.0" encoding="utf-8"?>
<styleSheet xmlns="http://schemas.openxmlformats.org/spreadsheetml/2006/main">
  <numFmts count="3">
    <numFmt numFmtId="164" formatCode="General"/>
    <numFmt numFmtId="165" formatCode="yyyy\-mm\-dd"/>
    <numFmt numFmtId="166"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b val="true"/>
      <sz val="12"/>
      <name val="Arial"/>
      <family val="0"/>
      <charset val="1"/>
    </font>
    <font>
      <b val="true"/>
      <sz val="11"/>
      <name val="Arial"/>
      <family val="0"/>
      <charset val="1"/>
    </font>
    <font>
      <b val="true"/>
      <sz val="11"/>
      <color rgb="FFC00000"/>
      <name val="Arial"/>
      <family val="0"/>
      <charset val="1"/>
    </font>
    <font>
      <i val="true"/>
      <sz val="9"/>
      <name val="Arial"/>
      <family val="0"/>
      <charset val="1"/>
    </font>
  </fonts>
  <fills count="4">
    <fill>
      <patternFill patternType="none"/>
    </fill>
    <fill>
      <patternFill patternType="gray125"/>
    </fill>
    <fill>
      <patternFill patternType="solid">
        <fgColor rgb="FFFFF2CC"/>
        <bgColor rgb="FFFCE4D6"/>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F8CBAD"/>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bgColor rgb="FFF8CBAD"/>
        </patternFill>
      </fill>
    </dxf>
    <dxf>
      <fill>
        <patternFill>
          <bgColor rgb="FFFCE4D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row>
    <row r="7" customFormat="false" ht="15" hidden="false" customHeight="false" outlineLevel="0" collapsed="false">
      <c r="A7" s="2" t="s">
        <v>7</v>
      </c>
      <c r="B7" s="3" t="s">
        <v>8</v>
      </c>
    </row>
    <row r="8" customFormat="false" ht="15" hidden="false" customHeight="false" outlineLevel="0" collapsed="false">
      <c r="A8" s="4" t="s">
        <v>9</v>
      </c>
      <c r="B8" s="3" t="s">
        <v>10</v>
      </c>
    </row>
    <row r="9" customFormat="false" ht="15" hidden="false" customHeight="false" outlineLevel="0" collapsed="false">
      <c r="A9" s="2"/>
    </row>
    <row r="10" customFormat="false" ht="46.25" hidden="false" customHeight="false" outlineLevel="0" collapsed="false">
      <c r="A10" s="2" t="s">
        <v>11</v>
      </c>
      <c r="B10" s="3" t="s">
        <v>12</v>
      </c>
    </row>
    <row r="11" customFormat="false" ht="23.85" hidden="false" customHeight="false" outlineLevel="0" collapsed="false">
      <c r="A11" s="2" t="s">
        <v>13</v>
      </c>
      <c r="B11" s="3" t="s">
        <v>14</v>
      </c>
    </row>
    <row r="12" customFormat="false" ht="23.85" hidden="false" customHeight="false" outlineLevel="0" collapsed="false">
      <c r="A12" s="2" t="s">
        <v>15</v>
      </c>
      <c r="B12" s="3" t="s">
        <v>16</v>
      </c>
    </row>
    <row r="13" customFormat="false" ht="15" hidden="false" customHeight="false" outlineLevel="0" collapsed="false">
      <c r="A13" s="2" t="s">
        <v>17</v>
      </c>
      <c r="B13" s="3" t="s">
        <v>18</v>
      </c>
    </row>
    <row r="14" customFormat="false" ht="15" hidden="false" customHeight="false" outlineLevel="0" collapsed="false">
      <c r="A14" s="2"/>
    </row>
    <row r="15" customFormat="false" ht="23.85" hidden="false" customHeight="false" outlineLevel="0" collapsed="false">
      <c r="A15" s="2" t="s">
        <v>19</v>
      </c>
      <c r="B15" s="3" t="s">
        <v>20</v>
      </c>
    </row>
    <row r="16" customFormat="false" ht="35.05" hidden="false" customHeight="false" outlineLevel="0" collapsed="false">
      <c r="A16" s="2" t="s">
        <v>21</v>
      </c>
      <c r="B16" s="3" t="s">
        <v>22</v>
      </c>
    </row>
    <row r="17" customFormat="false" ht="23.85" hidden="false" customHeight="false" outlineLevel="0" collapsed="false">
      <c r="A17" s="2" t="s">
        <v>23</v>
      </c>
      <c r="B17" s="3" t="s">
        <v>24</v>
      </c>
    </row>
    <row r="18" customFormat="false" ht="15" hidden="false" customHeight="false" outlineLevel="0" collapsed="false">
      <c r="A18" s="2" t="s">
        <v>25</v>
      </c>
      <c r="B18" s="3" t="s">
        <v>26</v>
      </c>
    </row>
    <row r="19" customFormat="false" ht="23.85" hidden="false" customHeight="false" outlineLevel="0" collapsed="false">
      <c r="A19" s="2" t="s">
        <v>27</v>
      </c>
      <c r="B19" s="3" t="s">
        <v>28</v>
      </c>
    </row>
    <row r="20" customFormat="false" ht="15" hidden="false" customHeight="false" outlineLevel="0" collapsed="false">
      <c r="A20" s="2" t="s">
        <v>29</v>
      </c>
      <c r="B20" s="3" t="s">
        <v>30</v>
      </c>
    </row>
    <row r="21" customFormat="false" ht="15" hidden="false" customHeight="false" outlineLevel="0" collapsed="false">
      <c r="A21" s="2"/>
    </row>
    <row r="22" customFormat="false" ht="23.85" hidden="false" customHeight="false" outlineLevel="0" collapsed="false">
      <c r="A22" s="2" t="s">
        <v>31</v>
      </c>
      <c r="B22" s="3"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11"/>
    <col collapsed="false" customWidth="true" hidden="false" outlineLevel="0" max="4" min="4" style="0" width="44"/>
    <col collapsed="false" customWidth="true" hidden="false" outlineLevel="0" max="5" min="5" style="0" width="15"/>
    <col collapsed="false" customWidth="true" hidden="false" outlineLevel="0" max="6" min="6" style="0" width="52"/>
    <col collapsed="false" customWidth="true" hidden="false" outlineLevel="0" max="7" min="7" style="0" width="14"/>
    <col collapsed="false" customWidth="true" hidden="false" outlineLevel="0" max="8" min="8" style="0" width="22"/>
    <col collapsed="false" customWidth="true" hidden="false" outlineLevel="0" max="9" min="9" style="0" width="16"/>
    <col collapsed="false" customWidth="true" hidden="false" outlineLevel="0" max="10" min="10" style="0" width="30"/>
    <col collapsed="false" customWidth="true" hidden="false" outlineLevel="0" max="11" min="11" style="0" width="40"/>
    <col collapsed="false" customWidth="true" hidden="false" outlineLevel="0" max="12" min="12" style="0" width="12"/>
    <col collapsed="false" customWidth="true" hidden="false" outlineLevel="0" max="13" min="13" style="0" width="16"/>
    <col collapsed="false" customWidth="true" hidden="false" outlineLevel="0" max="14" min="14" style="0" width="13"/>
    <col collapsed="false" customWidth="true" hidden="false" outlineLevel="0" max="15" min="15" style="0" width="9"/>
  </cols>
  <sheetData>
    <row r="1" customFormat="false" ht="30" hidden="false" customHeight="true" outlineLevel="0" collapsed="false">
      <c r="A1" s="5" t="s">
        <v>33</v>
      </c>
      <c r="B1" s="5" t="s">
        <v>34</v>
      </c>
      <c r="C1" s="5" t="s">
        <v>35</v>
      </c>
      <c r="D1" s="5" t="s">
        <v>36</v>
      </c>
      <c r="E1" s="5" t="s">
        <v>37</v>
      </c>
      <c r="F1" s="5" t="s">
        <v>38</v>
      </c>
      <c r="G1" s="5" t="s">
        <v>39</v>
      </c>
      <c r="H1" s="5" t="s">
        <v>40</v>
      </c>
      <c r="I1" s="5" t="s">
        <v>41</v>
      </c>
      <c r="J1" s="5" t="s">
        <v>13</v>
      </c>
      <c r="K1" s="5" t="s">
        <v>15</v>
      </c>
      <c r="L1" s="5" t="s">
        <v>21</v>
      </c>
      <c r="M1" s="5" t="s">
        <v>17</v>
      </c>
      <c r="N1" s="5" t="s">
        <v>42</v>
      </c>
      <c r="O1" s="5" t="s">
        <v>23</v>
      </c>
    </row>
    <row r="2" customFormat="false" ht="46.25" hidden="false" customHeight="false" outlineLevel="0" collapsed="false">
      <c r="A2" s="6" t="n">
        <v>1</v>
      </c>
      <c r="B2" s="6" t="s">
        <v>43</v>
      </c>
      <c r="C2" s="6" t="s">
        <v>44</v>
      </c>
      <c r="D2" s="6" t="s">
        <v>45</v>
      </c>
      <c r="E2" s="6" t="s">
        <v>46</v>
      </c>
      <c r="F2" s="6" t="s">
        <v>47</v>
      </c>
      <c r="G2" s="6" t="s">
        <v>48</v>
      </c>
      <c r="H2" s="6" t="s">
        <v>49</v>
      </c>
      <c r="I2" s="7" t="s">
        <v>50</v>
      </c>
      <c r="J2" s="7" t="s">
        <v>51</v>
      </c>
      <c r="K2" s="7" t="s">
        <v>52</v>
      </c>
      <c r="L2" s="7" t="s">
        <v>48</v>
      </c>
      <c r="M2" s="7" t="s">
        <v>53</v>
      </c>
      <c r="N2" s="8" t="s">
        <v>54</v>
      </c>
      <c r="O2" s="6" t="str">
        <f aca="false">IF(OR(I2="Partial",I2="Not implemented"),"Yes","")</f>
        <v>Yes</v>
      </c>
    </row>
    <row r="3" customFormat="false" ht="23.85" hidden="false" customHeight="false" outlineLevel="0" collapsed="false">
      <c r="A3" s="6" t="n">
        <v>1</v>
      </c>
      <c r="B3" s="6" t="s">
        <v>43</v>
      </c>
      <c r="C3" s="6" t="s">
        <v>44</v>
      </c>
      <c r="D3" s="6" t="s">
        <v>45</v>
      </c>
      <c r="E3" s="6" t="s">
        <v>55</v>
      </c>
      <c r="F3" s="6" t="s">
        <v>56</v>
      </c>
      <c r="G3" s="6" t="s">
        <v>48</v>
      </c>
      <c r="H3" s="6" t="s">
        <v>57</v>
      </c>
      <c r="I3" s="7"/>
      <c r="J3" s="7"/>
      <c r="K3" s="7"/>
      <c r="L3" s="7"/>
      <c r="M3" s="7"/>
      <c r="N3" s="8"/>
      <c r="O3" s="6" t="str">
        <f aca="false">IF(OR(I3="Partial",I3="Not implemented"),"Yes","")</f>
        <v/>
      </c>
    </row>
    <row r="4" customFormat="false" ht="23.85" hidden="false" customHeight="false" outlineLevel="0" collapsed="false">
      <c r="A4" s="6" t="n">
        <v>1</v>
      </c>
      <c r="B4" s="6" t="s">
        <v>43</v>
      </c>
      <c r="C4" s="6" t="s">
        <v>44</v>
      </c>
      <c r="D4" s="6" t="s">
        <v>45</v>
      </c>
      <c r="E4" s="6" t="s">
        <v>58</v>
      </c>
      <c r="F4" s="6" t="s">
        <v>59</v>
      </c>
      <c r="G4" s="6" t="s">
        <v>48</v>
      </c>
      <c r="H4" s="6" t="s">
        <v>60</v>
      </c>
      <c r="I4" s="7"/>
      <c r="J4" s="7"/>
      <c r="K4" s="7"/>
      <c r="L4" s="7"/>
      <c r="M4" s="7"/>
      <c r="N4" s="8"/>
      <c r="O4" s="6" t="str">
        <f aca="false">IF(OR(I4="Partial",I4="Not implemented"),"Yes","")</f>
        <v/>
      </c>
    </row>
    <row r="5" customFormat="false" ht="23.85" hidden="false" customHeight="false" outlineLevel="0" collapsed="false">
      <c r="A5" s="6" t="n">
        <v>1</v>
      </c>
      <c r="B5" s="6" t="s">
        <v>43</v>
      </c>
      <c r="C5" s="6" t="s">
        <v>61</v>
      </c>
      <c r="D5" s="6" t="s">
        <v>62</v>
      </c>
      <c r="E5" s="6" t="s">
        <v>63</v>
      </c>
      <c r="F5" s="6" t="s">
        <v>64</v>
      </c>
      <c r="G5" s="6" t="s">
        <v>48</v>
      </c>
      <c r="H5" s="6" t="s">
        <v>65</v>
      </c>
      <c r="I5" s="7"/>
      <c r="J5" s="7"/>
      <c r="K5" s="7"/>
      <c r="L5" s="7"/>
      <c r="M5" s="7"/>
      <c r="N5" s="8"/>
      <c r="O5" s="6" t="str">
        <f aca="false">IF(OR(I5="Partial",I5="Not implemented"),"Yes","")</f>
        <v/>
      </c>
    </row>
    <row r="6" customFormat="false" ht="23.85" hidden="false" customHeight="false" outlineLevel="0" collapsed="false">
      <c r="A6" s="6" t="n">
        <v>1</v>
      </c>
      <c r="B6" s="6" t="s">
        <v>43</v>
      </c>
      <c r="C6" s="6" t="s">
        <v>61</v>
      </c>
      <c r="D6" s="6" t="s">
        <v>62</v>
      </c>
      <c r="E6" s="6" t="s">
        <v>66</v>
      </c>
      <c r="F6" s="6" t="s">
        <v>67</v>
      </c>
      <c r="G6" s="6" t="s">
        <v>48</v>
      </c>
      <c r="H6" s="6" t="s">
        <v>68</v>
      </c>
      <c r="I6" s="7"/>
      <c r="J6" s="7"/>
      <c r="K6" s="7"/>
      <c r="L6" s="7"/>
      <c r="M6" s="7"/>
      <c r="N6" s="8"/>
      <c r="O6" s="6" t="str">
        <f aca="false">IF(OR(I6="Partial",I6="Not implemented"),"Yes","")</f>
        <v/>
      </c>
    </row>
    <row r="7" customFormat="false" ht="15" hidden="false" customHeight="false" outlineLevel="0" collapsed="false">
      <c r="A7" s="6" t="n">
        <v>1</v>
      </c>
      <c r="B7" s="6" t="s">
        <v>43</v>
      </c>
      <c r="C7" s="6" t="s">
        <v>61</v>
      </c>
      <c r="D7" s="6" t="s">
        <v>62</v>
      </c>
      <c r="E7" s="6" t="s">
        <v>69</v>
      </c>
      <c r="F7" s="6" t="s">
        <v>70</v>
      </c>
      <c r="G7" s="6" t="s">
        <v>71</v>
      </c>
      <c r="H7" s="6" t="s">
        <v>72</v>
      </c>
      <c r="I7" s="7"/>
      <c r="J7" s="7"/>
      <c r="K7" s="7"/>
      <c r="L7" s="7"/>
      <c r="M7" s="7"/>
      <c r="N7" s="8"/>
      <c r="O7" s="6" t="str">
        <f aca="false">IF(OR(I7="Partial",I7="Not implemented"),"Yes","")</f>
        <v/>
      </c>
    </row>
    <row r="8" customFormat="false" ht="15" hidden="false" customHeight="false" outlineLevel="0" collapsed="false">
      <c r="A8" s="6" t="n">
        <v>1</v>
      </c>
      <c r="B8" s="6" t="s">
        <v>43</v>
      </c>
      <c r="C8" s="6" t="s">
        <v>73</v>
      </c>
      <c r="D8" s="6" t="s">
        <v>74</v>
      </c>
      <c r="E8" s="6" t="s">
        <v>75</v>
      </c>
      <c r="F8" s="6" t="s">
        <v>76</v>
      </c>
      <c r="G8" s="6" t="s">
        <v>48</v>
      </c>
      <c r="H8" s="6" t="s">
        <v>77</v>
      </c>
      <c r="I8" s="7"/>
      <c r="J8" s="7"/>
      <c r="K8" s="7"/>
      <c r="L8" s="7"/>
      <c r="M8" s="7"/>
      <c r="N8" s="8"/>
      <c r="O8" s="6" t="str">
        <f aca="false">IF(OR(I8="Partial",I8="Not implemented"),"Yes","")</f>
        <v/>
      </c>
    </row>
    <row r="9" customFormat="false" ht="15" hidden="false" customHeight="false" outlineLevel="0" collapsed="false">
      <c r="A9" s="6" t="n">
        <v>1</v>
      </c>
      <c r="B9" s="6" t="s">
        <v>43</v>
      </c>
      <c r="C9" s="6" t="s">
        <v>73</v>
      </c>
      <c r="D9" s="6" t="s">
        <v>74</v>
      </c>
      <c r="E9" s="6" t="s">
        <v>78</v>
      </c>
      <c r="F9" s="6" t="s">
        <v>79</v>
      </c>
      <c r="G9" s="6" t="s">
        <v>48</v>
      </c>
      <c r="H9" s="6" t="s">
        <v>80</v>
      </c>
      <c r="I9" s="7"/>
      <c r="J9" s="7"/>
      <c r="K9" s="7"/>
      <c r="L9" s="7"/>
      <c r="M9" s="7"/>
      <c r="N9" s="8"/>
      <c r="O9" s="6" t="str">
        <f aca="false">IF(OR(I9="Partial",I9="Not implemented"),"Yes","")</f>
        <v/>
      </c>
    </row>
    <row r="10" customFormat="false" ht="15" hidden="false" customHeight="false" outlineLevel="0" collapsed="false">
      <c r="A10" s="6" t="n">
        <v>1</v>
      </c>
      <c r="B10" s="6" t="s">
        <v>43</v>
      </c>
      <c r="C10" s="6" t="s">
        <v>73</v>
      </c>
      <c r="D10" s="6" t="s">
        <v>74</v>
      </c>
      <c r="E10" s="6" t="s">
        <v>81</v>
      </c>
      <c r="F10" s="6" t="s">
        <v>82</v>
      </c>
      <c r="G10" s="6" t="s">
        <v>71</v>
      </c>
      <c r="H10" s="6" t="s">
        <v>83</v>
      </c>
      <c r="I10" s="7"/>
      <c r="J10" s="7"/>
      <c r="K10" s="7"/>
      <c r="L10" s="7"/>
      <c r="M10" s="7"/>
      <c r="N10" s="8"/>
      <c r="O10" s="6" t="str">
        <f aca="false">IF(OR(I10="Partial",I10="Not implemented"),"Yes","")</f>
        <v/>
      </c>
    </row>
    <row r="11" customFormat="false" ht="23.85" hidden="false" customHeight="false" outlineLevel="0" collapsed="false">
      <c r="A11" s="6" t="n">
        <v>1</v>
      </c>
      <c r="B11" s="6" t="s">
        <v>43</v>
      </c>
      <c r="C11" s="6" t="s">
        <v>84</v>
      </c>
      <c r="D11" s="6" t="s">
        <v>85</v>
      </c>
      <c r="E11" s="6" t="s">
        <v>86</v>
      </c>
      <c r="F11" s="6" t="s">
        <v>87</v>
      </c>
      <c r="G11" s="6" t="s">
        <v>48</v>
      </c>
      <c r="H11" s="6" t="s">
        <v>88</v>
      </c>
      <c r="I11" s="7"/>
      <c r="J11" s="7"/>
      <c r="K11" s="7"/>
      <c r="L11" s="7"/>
      <c r="M11" s="7"/>
      <c r="N11" s="8"/>
      <c r="O11" s="6" t="str">
        <f aca="false">IF(OR(I11="Partial",I11="Not implemented"),"Yes","")</f>
        <v/>
      </c>
    </row>
    <row r="12" customFormat="false" ht="23.85" hidden="false" customHeight="false" outlineLevel="0" collapsed="false">
      <c r="A12" s="6" t="n">
        <v>1</v>
      </c>
      <c r="B12" s="6" t="s">
        <v>43</v>
      </c>
      <c r="C12" s="6" t="s">
        <v>84</v>
      </c>
      <c r="D12" s="6" t="s">
        <v>85</v>
      </c>
      <c r="E12" s="6" t="s">
        <v>89</v>
      </c>
      <c r="F12" s="6" t="s">
        <v>90</v>
      </c>
      <c r="G12" s="6" t="s">
        <v>71</v>
      </c>
      <c r="H12" s="6" t="s">
        <v>91</v>
      </c>
      <c r="I12" s="7"/>
      <c r="J12" s="7"/>
      <c r="K12" s="7"/>
      <c r="L12" s="7"/>
      <c r="M12" s="7"/>
      <c r="N12" s="8"/>
      <c r="O12" s="6" t="str">
        <f aca="false">IF(OR(I12="Partial",I12="Not implemented"),"Yes","")</f>
        <v/>
      </c>
    </row>
    <row r="13" customFormat="false" ht="15" hidden="false" customHeight="false" outlineLevel="0" collapsed="false">
      <c r="A13" s="6" t="n">
        <v>1</v>
      </c>
      <c r="B13" s="6" t="s">
        <v>43</v>
      </c>
      <c r="C13" s="6" t="s">
        <v>84</v>
      </c>
      <c r="D13" s="6" t="s">
        <v>85</v>
      </c>
      <c r="E13" s="6" t="s">
        <v>92</v>
      </c>
      <c r="F13" s="6" t="s">
        <v>93</v>
      </c>
      <c r="G13" s="6" t="s">
        <v>71</v>
      </c>
      <c r="H13" s="6" t="s">
        <v>94</v>
      </c>
      <c r="I13" s="7"/>
      <c r="J13" s="7"/>
      <c r="K13" s="7"/>
      <c r="L13" s="7"/>
      <c r="M13" s="7"/>
      <c r="N13" s="8"/>
      <c r="O13" s="6" t="str">
        <f aca="false">IF(OR(I13="Partial",I13="Not implemented"),"Yes","")</f>
        <v/>
      </c>
    </row>
    <row r="14" customFormat="false" ht="23.85" hidden="false" customHeight="false" outlineLevel="0" collapsed="false">
      <c r="A14" s="6" t="n">
        <v>1</v>
      </c>
      <c r="B14" s="6" t="s">
        <v>43</v>
      </c>
      <c r="C14" s="6" t="s">
        <v>95</v>
      </c>
      <c r="D14" s="6" t="s">
        <v>96</v>
      </c>
      <c r="E14" s="6" t="s">
        <v>97</v>
      </c>
      <c r="F14" s="6" t="s">
        <v>98</v>
      </c>
      <c r="G14" s="6" t="s">
        <v>48</v>
      </c>
      <c r="H14" s="6" t="s">
        <v>99</v>
      </c>
      <c r="I14" s="7"/>
      <c r="J14" s="7"/>
      <c r="K14" s="7"/>
      <c r="L14" s="7"/>
      <c r="M14" s="7"/>
      <c r="N14" s="8"/>
      <c r="O14" s="6" t="str">
        <f aca="false">IF(OR(I14="Partial",I14="Not implemented"),"Yes","")</f>
        <v/>
      </c>
    </row>
    <row r="15" customFormat="false" ht="23.85" hidden="false" customHeight="false" outlineLevel="0" collapsed="false">
      <c r="A15" s="6" t="n">
        <v>1</v>
      </c>
      <c r="B15" s="6" t="s">
        <v>43</v>
      </c>
      <c r="C15" s="6" t="s">
        <v>95</v>
      </c>
      <c r="D15" s="6" t="s">
        <v>96</v>
      </c>
      <c r="E15" s="6" t="s">
        <v>100</v>
      </c>
      <c r="F15" s="6" t="s">
        <v>101</v>
      </c>
      <c r="G15" s="6" t="s">
        <v>71</v>
      </c>
      <c r="H15" s="6" t="s">
        <v>102</v>
      </c>
      <c r="I15" s="7"/>
      <c r="J15" s="7"/>
      <c r="K15" s="7"/>
      <c r="L15" s="7"/>
      <c r="M15" s="7"/>
      <c r="N15" s="8"/>
      <c r="O15" s="6" t="str">
        <f aca="false">IF(OR(I15="Partial",I15="Not implemented"),"Yes","")</f>
        <v/>
      </c>
    </row>
    <row r="16" customFormat="false" ht="23.85" hidden="false" customHeight="false" outlineLevel="0" collapsed="false">
      <c r="A16" s="6" t="n">
        <v>2</v>
      </c>
      <c r="B16" s="6" t="s">
        <v>103</v>
      </c>
      <c r="C16" s="6" t="s">
        <v>104</v>
      </c>
      <c r="D16" s="6" t="s">
        <v>105</v>
      </c>
      <c r="E16" s="6" t="s">
        <v>106</v>
      </c>
      <c r="F16" s="6" t="s">
        <v>107</v>
      </c>
      <c r="G16" s="6" t="s">
        <v>48</v>
      </c>
      <c r="H16" s="6" t="s">
        <v>108</v>
      </c>
      <c r="I16" s="7"/>
      <c r="J16" s="7"/>
      <c r="K16" s="7"/>
      <c r="L16" s="7"/>
      <c r="M16" s="7"/>
      <c r="N16" s="8"/>
      <c r="O16" s="6" t="str">
        <f aca="false">IF(OR(I16="Partial",I16="Not implemented"),"Yes","")</f>
        <v/>
      </c>
    </row>
    <row r="17" customFormat="false" ht="23.85" hidden="false" customHeight="false" outlineLevel="0" collapsed="false">
      <c r="A17" s="6" t="n">
        <v>2</v>
      </c>
      <c r="B17" s="6" t="s">
        <v>103</v>
      </c>
      <c r="C17" s="6" t="s">
        <v>104</v>
      </c>
      <c r="D17" s="6" t="s">
        <v>105</v>
      </c>
      <c r="E17" s="6" t="s">
        <v>109</v>
      </c>
      <c r="F17" s="6" t="s">
        <v>110</v>
      </c>
      <c r="G17" s="6" t="s">
        <v>48</v>
      </c>
      <c r="H17" s="6" t="s">
        <v>111</v>
      </c>
      <c r="I17" s="7"/>
      <c r="J17" s="7"/>
      <c r="K17" s="7"/>
      <c r="L17" s="7"/>
      <c r="M17" s="7"/>
      <c r="N17" s="8"/>
      <c r="O17" s="6" t="str">
        <f aca="false">IF(OR(I17="Partial",I17="Not implemented"),"Yes","")</f>
        <v/>
      </c>
    </row>
    <row r="18" customFormat="false" ht="23.85" hidden="false" customHeight="false" outlineLevel="0" collapsed="false">
      <c r="A18" s="6" t="n">
        <v>2</v>
      </c>
      <c r="B18" s="6" t="s">
        <v>103</v>
      </c>
      <c r="C18" s="6" t="s">
        <v>104</v>
      </c>
      <c r="D18" s="6" t="s">
        <v>105</v>
      </c>
      <c r="E18" s="6" t="s">
        <v>112</v>
      </c>
      <c r="F18" s="6" t="s">
        <v>113</v>
      </c>
      <c r="G18" s="6" t="s">
        <v>48</v>
      </c>
      <c r="H18" s="6" t="s">
        <v>114</v>
      </c>
      <c r="I18" s="7"/>
      <c r="J18" s="7"/>
      <c r="K18" s="7"/>
      <c r="L18" s="7"/>
      <c r="M18" s="7"/>
      <c r="N18" s="8"/>
      <c r="O18" s="6" t="str">
        <f aca="false">IF(OR(I18="Partial",I18="Not implemented"),"Yes","")</f>
        <v/>
      </c>
    </row>
    <row r="19" customFormat="false" ht="23.85" hidden="false" customHeight="false" outlineLevel="0" collapsed="false">
      <c r="A19" s="6" t="n">
        <v>2</v>
      </c>
      <c r="B19" s="6" t="s">
        <v>103</v>
      </c>
      <c r="C19" s="6" t="s">
        <v>104</v>
      </c>
      <c r="D19" s="6" t="s">
        <v>105</v>
      </c>
      <c r="E19" s="6" t="s">
        <v>115</v>
      </c>
      <c r="F19" s="6" t="s">
        <v>116</v>
      </c>
      <c r="G19" s="6" t="s">
        <v>71</v>
      </c>
      <c r="H19" s="6" t="s">
        <v>117</v>
      </c>
      <c r="I19" s="7"/>
      <c r="J19" s="7"/>
      <c r="K19" s="7"/>
      <c r="L19" s="7"/>
      <c r="M19" s="7"/>
      <c r="N19" s="8"/>
      <c r="O19" s="6" t="str">
        <f aca="false">IF(OR(I19="Partial",I19="Not implemented"),"Yes","")</f>
        <v/>
      </c>
    </row>
    <row r="20" customFormat="false" ht="23.85" hidden="false" customHeight="false" outlineLevel="0" collapsed="false">
      <c r="A20" s="6" t="n">
        <v>2</v>
      </c>
      <c r="B20" s="6" t="s">
        <v>103</v>
      </c>
      <c r="C20" s="6" t="s">
        <v>118</v>
      </c>
      <c r="D20" s="6" t="s">
        <v>119</v>
      </c>
      <c r="E20" s="6" t="s">
        <v>120</v>
      </c>
      <c r="F20" s="6" t="s">
        <v>121</v>
      </c>
      <c r="G20" s="6" t="s">
        <v>48</v>
      </c>
      <c r="H20" s="6" t="s">
        <v>122</v>
      </c>
      <c r="I20" s="7"/>
      <c r="J20" s="7"/>
      <c r="K20" s="7"/>
      <c r="L20" s="7"/>
      <c r="M20" s="7"/>
      <c r="N20" s="8"/>
      <c r="O20" s="6" t="str">
        <f aca="false">IF(OR(I20="Partial",I20="Not implemented"),"Yes","")</f>
        <v/>
      </c>
    </row>
    <row r="21" customFormat="false" ht="23.85" hidden="false" customHeight="false" outlineLevel="0" collapsed="false">
      <c r="A21" s="6" t="n">
        <v>2</v>
      </c>
      <c r="B21" s="6" t="s">
        <v>103</v>
      </c>
      <c r="C21" s="6" t="s">
        <v>118</v>
      </c>
      <c r="D21" s="6" t="s">
        <v>119</v>
      </c>
      <c r="E21" s="6" t="s">
        <v>123</v>
      </c>
      <c r="F21" s="6" t="s">
        <v>124</v>
      </c>
      <c r="G21" s="6" t="s">
        <v>48</v>
      </c>
      <c r="H21" s="6" t="s">
        <v>125</v>
      </c>
      <c r="I21" s="7"/>
      <c r="J21" s="7"/>
      <c r="K21" s="7"/>
      <c r="L21" s="7"/>
      <c r="M21" s="7"/>
      <c r="N21" s="8"/>
      <c r="O21" s="6" t="str">
        <f aca="false">IF(OR(I21="Partial",I21="Not implemented"),"Yes","")</f>
        <v/>
      </c>
    </row>
    <row r="22" customFormat="false" ht="23.85" hidden="false" customHeight="false" outlineLevel="0" collapsed="false">
      <c r="A22" s="6" t="n">
        <v>2</v>
      </c>
      <c r="B22" s="6" t="s">
        <v>103</v>
      </c>
      <c r="C22" s="6" t="s">
        <v>126</v>
      </c>
      <c r="D22" s="6" t="s">
        <v>127</v>
      </c>
      <c r="E22" s="6" t="s">
        <v>128</v>
      </c>
      <c r="F22" s="6" t="s">
        <v>129</v>
      </c>
      <c r="G22" s="6" t="s">
        <v>71</v>
      </c>
      <c r="H22" s="6" t="s">
        <v>130</v>
      </c>
      <c r="I22" s="7"/>
      <c r="J22" s="7"/>
      <c r="K22" s="7"/>
      <c r="L22" s="7"/>
      <c r="M22" s="7"/>
      <c r="N22" s="8"/>
      <c r="O22" s="6" t="str">
        <f aca="false">IF(OR(I22="Partial",I22="Not implemented"),"Yes","")</f>
        <v/>
      </c>
    </row>
    <row r="23" customFormat="false" ht="23.85" hidden="false" customHeight="false" outlineLevel="0" collapsed="false">
      <c r="A23" s="6" t="n">
        <v>2</v>
      </c>
      <c r="B23" s="6" t="s">
        <v>103</v>
      </c>
      <c r="C23" s="6" t="s">
        <v>126</v>
      </c>
      <c r="D23" s="6" t="s">
        <v>127</v>
      </c>
      <c r="E23" s="6" t="s">
        <v>131</v>
      </c>
      <c r="F23" s="6" t="s">
        <v>132</v>
      </c>
      <c r="G23" s="6" t="s">
        <v>133</v>
      </c>
      <c r="H23" s="6" t="s">
        <v>134</v>
      </c>
      <c r="I23" s="7"/>
      <c r="J23" s="7"/>
      <c r="K23" s="7"/>
      <c r="L23" s="7"/>
      <c r="M23" s="7"/>
      <c r="N23" s="8"/>
      <c r="O23" s="6" t="str">
        <f aca="false">IF(OR(I23="Partial",I23="Not implemented"),"Yes","")</f>
        <v/>
      </c>
    </row>
    <row r="24" customFormat="false" ht="23.85" hidden="false" customHeight="false" outlineLevel="0" collapsed="false">
      <c r="A24" s="6" t="n">
        <v>2</v>
      </c>
      <c r="B24" s="6" t="s">
        <v>103</v>
      </c>
      <c r="C24" s="6" t="s">
        <v>135</v>
      </c>
      <c r="D24" s="6" t="s">
        <v>136</v>
      </c>
      <c r="E24" s="6" t="s">
        <v>137</v>
      </c>
      <c r="F24" s="6" t="s">
        <v>138</v>
      </c>
      <c r="G24" s="6" t="s">
        <v>48</v>
      </c>
      <c r="H24" s="6" t="s">
        <v>139</v>
      </c>
      <c r="I24" s="7"/>
      <c r="J24" s="7"/>
      <c r="K24" s="7"/>
      <c r="L24" s="7"/>
      <c r="M24" s="7"/>
      <c r="N24" s="8"/>
      <c r="O24" s="6" t="str">
        <f aca="false">IF(OR(I24="Partial",I24="Not implemented"),"Yes","")</f>
        <v/>
      </c>
    </row>
    <row r="25" customFormat="false" ht="23.85" hidden="false" customHeight="false" outlineLevel="0" collapsed="false">
      <c r="A25" s="6" t="n">
        <v>2</v>
      </c>
      <c r="B25" s="6" t="s">
        <v>103</v>
      </c>
      <c r="C25" s="6" t="s">
        <v>135</v>
      </c>
      <c r="D25" s="6" t="s">
        <v>136</v>
      </c>
      <c r="E25" s="6" t="s">
        <v>140</v>
      </c>
      <c r="F25" s="6" t="s">
        <v>141</v>
      </c>
      <c r="G25" s="6" t="s">
        <v>71</v>
      </c>
      <c r="H25" s="6" t="s">
        <v>142</v>
      </c>
      <c r="I25" s="7"/>
      <c r="J25" s="7"/>
      <c r="K25" s="7"/>
      <c r="L25" s="7"/>
      <c r="M25" s="7"/>
      <c r="N25" s="8"/>
      <c r="O25" s="6" t="str">
        <f aca="false">IF(OR(I25="Partial",I25="Not implemented"),"Yes","")</f>
        <v/>
      </c>
    </row>
    <row r="26" customFormat="false" ht="23.85" hidden="false" customHeight="false" outlineLevel="0" collapsed="false">
      <c r="A26" s="6" t="n">
        <v>2</v>
      </c>
      <c r="B26" s="6" t="s">
        <v>103</v>
      </c>
      <c r="C26" s="6" t="s">
        <v>143</v>
      </c>
      <c r="D26" s="6" t="s">
        <v>144</v>
      </c>
      <c r="E26" s="6" t="s">
        <v>145</v>
      </c>
      <c r="F26" s="6" t="s">
        <v>146</v>
      </c>
      <c r="G26" s="6" t="s">
        <v>71</v>
      </c>
      <c r="H26" s="6" t="s">
        <v>147</v>
      </c>
      <c r="I26" s="7"/>
      <c r="J26" s="7"/>
      <c r="K26" s="7"/>
      <c r="L26" s="7"/>
      <c r="M26" s="7"/>
      <c r="N26" s="8"/>
      <c r="O26" s="6" t="str">
        <f aca="false">IF(OR(I26="Partial",I26="Not implemented"),"Yes","")</f>
        <v/>
      </c>
    </row>
    <row r="27" customFormat="false" ht="23.85" hidden="false" customHeight="false" outlineLevel="0" collapsed="false">
      <c r="A27" s="6" t="n">
        <v>2</v>
      </c>
      <c r="B27" s="6" t="s">
        <v>103</v>
      </c>
      <c r="C27" s="6" t="s">
        <v>143</v>
      </c>
      <c r="D27" s="6" t="s">
        <v>144</v>
      </c>
      <c r="E27" s="6" t="s">
        <v>148</v>
      </c>
      <c r="F27" s="6" t="s">
        <v>149</v>
      </c>
      <c r="G27" s="6" t="s">
        <v>71</v>
      </c>
      <c r="H27" s="6" t="s">
        <v>147</v>
      </c>
      <c r="I27" s="7"/>
      <c r="J27" s="7"/>
      <c r="K27" s="7"/>
      <c r="L27" s="7"/>
      <c r="M27" s="7"/>
      <c r="N27" s="8"/>
      <c r="O27" s="6" t="str">
        <f aca="false">IF(OR(I27="Partial",I27="Not implemented"),"Yes","")</f>
        <v/>
      </c>
    </row>
    <row r="28" customFormat="false" ht="23.85" hidden="false" customHeight="false" outlineLevel="0" collapsed="false">
      <c r="A28" s="6" t="n">
        <v>2</v>
      </c>
      <c r="B28" s="6" t="s">
        <v>103</v>
      </c>
      <c r="C28" s="6" t="s">
        <v>143</v>
      </c>
      <c r="D28" s="6" t="s">
        <v>144</v>
      </c>
      <c r="E28" s="6" t="s">
        <v>150</v>
      </c>
      <c r="F28" s="6" t="s">
        <v>151</v>
      </c>
      <c r="G28" s="6" t="s">
        <v>133</v>
      </c>
      <c r="H28" s="6" t="s">
        <v>147</v>
      </c>
      <c r="I28" s="7"/>
      <c r="J28" s="7"/>
      <c r="K28" s="7"/>
      <c r="L28" s="7"/>
      <c r="M28" s="7"/>
      <c r="N28" s="8"/>
      <c r="O28" s="6" t="str">
        <f aca="false">IF(OR(I28="Partial",I28="Not implemented"),"Yes","")</f>
        <v/>
      </c>
    </row>
    <row r="29" customFormat="false" ht="23.85" hidden="false" customHeight="false" outlineLevel="0" collapsed="false">
      <c r="A29" s="6" t="n">
        <v>3</v>
      </c>
      <c r="B29" s="6" t="s">
        <v>152</v>
      </c>
      <c r="C29" s="6" t="s">
        <v>153</v>
      </c>
      <c r="D29" s="6" t="s">
        <v>154</v>
      </c>
      <c r="E29" s="6" t="s">
        <v>155</v>
      </c>
      <c r="F29" s="6" t="s">
        <v>156</v>
      </c>
      <c r="G29" s="6" t="s">
        <v>48</v>
      </c>
      <c r="H29" s="6" t="s">
        <v>122</v>
      </c>
      <c r="I29" s="7"/>
      <c r="J29" s="7"/>
      <c r="K29" s="7"/>
      <c r="L29" s="7"/>
      <c r="M29" s="7"/>
      <c r="N29" s="8"/>
      <c r="O29" s="6" t="str">
        <f aca="false">IF(OR(I29="Partial",I29="Not implemented"),"Yes","")</f>
        <v/>
      </c>
    </row>
    <row r="30" customFormat="false" ht="23.85" hidden="false" customHeight="false" outlineLevel="0" collapsed="false">
      <c r="A30" s="6" t="n">
        <v>3</v>
      </c>
      <c r="B30" s="6" t="s">
        <v>152</v>
      </c>
      <c r="C30" s="6" t="s">
        <v>153</v>
      </c>
      <c r="D30" s="6" t="s">
        <v>154</v>
      </c>
      <c r="E30" s="6" t="s">
        <v>157</v>
      </c>
      <c r="F30" s="6" t="s">
        <v>158</v>
      </c>
      <c r="G30" s="6" t="s">
        <v>48</v>
      </c>
      <c r="H30" s="6" t="s">
        <v>57</v>
      </c>
      <c r="I30" s="7"/>
      <c r="J30" s="7"/>
      <c r="K30" s="7"/>
      <c r="L30" s="7"/>
      <c r="M30" s="7"/>
      <c r="N30" s="8"/>
      <c r="O30" s="6" t="str">
        <f aca="false">IF(OR(I30="Partial",I30="Not implemented"),"Yes","")</f>
        <v/>
      </c>
    </row>
    <row r="31" customFormat="false" ht="15" hidden="false" customHeight="false" outlineLevel="0" collapsed="false">
      <c r="A31" s="6" t="n">
        <v>3</v>
      </c>
      <c r="B31" s="6" t="s">
        <v>152</v>
      </c>
      <c r="C31" s="6" t="s">
        <v>159</v>
      </c>
      <c r="D31" s="6" t="s">
        <v>160</v>
      </c>
      <c r="E31" s="6" t="s">
        <v>161</v>
      </c>
      <c r="F31" s="6" t="s">
        <v>162</v>
      </c>
      <c r="G31" s="6" t="s">
        <v>48</v>
      </c>
      <c r="H31" s="6" t="s">
        <v>163</v>
      </c>
      <c r="I31" s="7"/>
      <c r="J31" s="7"/>
      <c r="K31" s="7"/>
      <c r="L31" s="7"/>
      <c r="M31" s="7"/>
      <c r="N31" s="8"/>
      <c r="O31" s="6" t="str">
        <f aca="false">IF(OR(I31="Partial",I31="Not implemented"),"Yes","")</f>
        <v/>
      </c>
    </row>
    <row r="32" customFormat="false" ht="15" hidden="false" customHeight="false" outlineLevel="0" collapsed="false">
      <c r="A32" s="6" t="n">
        <v>3</v>
      </c>
      <c r="B32" s="6" t="s">
        <v>152</v>
      </c>
      <c r="C32" s="6" t="s">
        <v>159</v>
      </c>
      <c r="D32" s="6" t="s">
        <v>160</v>
      </c>
      <c r="E32" s="6" t="s">
        <v>164</v>
      </c>
      <c r="F32" s="6" t="s">
        <v>165</v>
      </c>
      <c r="G32" s="6" t="s">
        <v>48</v>
      </c>
      <c r="H32" s="6" t="s">
        <v>166</v>
      </c>
      <c r="I32" s="7"/>
      <c r="J32" s="7"/>
      <c r="K32" s="7"/>
      <c r="L32" s="7"/>
      <c r="M32" s="7"/>
      <c r="N32" s="8"/>
      <c r="O32" s="6" t="str">
        <f aca="false">IF(OR(I32="Partial",I32="Not implemented"),"Yes","")</f>
        <v/>
      </c>
    </row>
    <row r="33" customFormat="false" ht="15" hidden="false" customHeight="false" outlineLevel="0" collapsed="false">
      <c r="A33" s="6" t="n">
        <v>3</v>
      </c>
      <c r="B33" s="6" t="s">
        <v>152</v>
      </c>
      <c r="C33" s="6" t="s">
        <v>159</v>
      </c>
      <c r="D33" s="6" t="s">
        <v>160</v>
      </c>
      <c r="E33" s="6" t="s">
        <v>167</v>
      </c>
      <c r="F33" s="6" t="s">
        <v>168</v>
      </c>
      <c r="G33" s="6" t="s">
        <v>71</v>
      </c>
      <c r="H33" s="6" t="s">
        <v>169</v>
      </c>
      <c r="I33" s="7"/>
      <c r="J33" s="7"/>
      <c r="K33" s="7"/>
      <c r="L33" s="7"/>
      <c r="M33" s="7"/>
      <c r="N33" s="8"/>
      <c r="O33" s="6" t="str">
        <f aca="false">IF(OR(I33="Partial",I33="Not implemented"),"Yes","")</f>
        <v/>
      </c>
    </row>
    <row r="34" customFormat="false" ht="23.85" hidden="false" customHeight="false" outlineLevel="0" collapsed="false">
      <c r="A34" s="6" t="n">
        <v>3</v>
      </c>
      <c r="B34" s="6" t="s">
        <v>152</v>
      </c>
      <c r="C34" s="6" t="s">
        <v>159</v>
      </c>
      <c r="D34" s="6" t="s">
        <v>160</v>
      </c>
      <c r="E34" s="6" t="s">
        <v>170</v>
      </c>
      <c r="F34" s="6" t="s">
        <v>171</v>
      </c>
      <c r="G34" s="6" t="s">
        <v>48</v>
      </c>
      <c r="H34" s="6" t="s">
        <v>172</v>
      </c>
      <c r="I34" s="7"/>
      <c r="J34" s="7"/>
      <c r="K34" s="7"/>
      <c r="L34" s="7"/>
      <c r="M34" s="7"/>
      <c r="N34" s="8"/>
      <c r="O34" s="6" t="str">
        <f aca="false">IF(OR(I34="Partial",I34="Not implemented"),"Yes","")</f>
        <v/>
      </c>
    </row>
    <row r="35" customFormat="false" ht="23.85" hidden="false" customHeight="false" outlineLevel="0" collapsed="false">
      <c r="A35" s="6" t="n">
        <v>3</v>
      </c>
      <c r="B35" s="6" t="s">
        <v>152</v>
      </c>
      <c r="C35" s="6" t="s">
        <v>173</v>
      </c>
      <c r="D35" s="6" t="s">
        <v>174</v>
      </c>
      <c r="E35" s="6" t="s">
        <v>175</v>
      </c>
      <c r="F35" s="6" t="s">
        <v>176</v>
      </c>
      <c r="G35" s="6" t="s">
        <v>48</v>
      </c>
      <c r="H35" s="6" t="s">
        <v>177</v>
      </c>
      <c r="I35" s="7"/>
      <c r="J35" s="7"/>
      <c r="K35" s="7"/>
      <c r="L35" s="7"/>
      <c r="M35" s="7"/>
      <c r="N35" s="8"/>
      <c r="O35" s="6" t="str">
        <f aca="false">IF(OR(I35="Partial",I35="Not implemented"),"Yes","")</f>
        <v/>
      </c>
    </row>
    <row r="36" customFormat="false" ht="23.85" hidden="false" customHeight="false" outlineLevel="0" collapsed="false">
      <c r="A36" s="6" t="n">
        <v>3</v>
      </c>
      <c r="B36" s="6" t="s">
        <v>152</v>
      </c>
      <c r="C36" s="6" t="s">
        <v>173</v>
      </c>
      <c r="D36" s="6" t="s">
        <v>174</v>
      </c>
      <c r="E36" s="6" t="s">
        <v>178</v>
      </c>
      <c r="F36" s="6" t="s">
        <v>179</v>
      </c>
      <c r="G36" s="6" t="s">
        <v>71</v>
      </c>
      <c r="H36" s="6" t="s">
        <v>57</v>
      </c>
      <c r="I36" s="7"/>
      <c r="J36" s="7"/>
      <c r="K36" s="7"/>
      <c r="L36" s="7"/>
      <c r="M36" s="7"/>
      <c r="N36" s="8"/>
      <c r="O36" s="6" t="str">
        <f aca="false">IF(OR(I36="Partial",I36="Not implemented"),"Yes","")</f>
        <v/>
      </c>
    </row>
    <row r="37" customFormat="false" ht="23.85" hidden="false" customHeight="false" outlineLevel="0" collapsed="false">
      <c r="A37" s="6" t="n">
        <v>3</v>
      </c>
      <c r="B37" s="6" t="s">
        <v>152</v>
      </c>
      <c r="C37" s="6" t="s">
        <v>173</v>
      </c>
      <c r="D37" s="6" t="s">
        <v>174</v>
      </c>
      <c r="E37" s="6" t="s">
        <v>180</v>
      </c>
      <c r="F37" s="6" t="s">
        <v>181</v>
      </c>
      <c r="G37" s="6" t="s">
        <v>48</v>
      </c>
      <c r="H37" s="6" t="s">
        <v>182</v>
      </c>
      <c r="I37" s="7"/>
      <c r="J37" s="7"/>
      <c r="K37" s="7"/>
      <c r="L37" s="7"/>
      <c r="M37" s="7"/>
      <c r="N37" s="8"/>
      <c r="O37" s="6" t="str">
        <f aca="false">IF(OR(I37="Partial",I37="Not implemented"),"Yes","")</f>
        <v/>
      </c>
    </row>
    <row r="38" customFormat="false" ht="23.85" hidden="false" customHeight="false" outlineLevel="0" collapsed="false">
      <c r="A38" s="6" t="n">
        <v>3</v>
      </c>
      <c r="B38" s="6" t="s">
        <v>152</v>
      </c>
      <c r="C38" s="6" t="s">
        <v>173</v>
      </c>
      <c r="D38" s="6" t="s">
        <v>174</v>
      </c>
      <c r="E38" s="6" t="s">
        <v>183</v>
      </c>
      <c r="F38" s="6" t="s">
        <v>184</v>
      </c>
      <c r="G38" s="6" t="s">
        <v>71</v>
      </c>
      <c r="H38" s="6" t="s">
        <v>185</v>
      </c>
      <c r="I38" s="7"/>
      <c r="J38" s="7"/>
      <c r="K38" s="7"/>
      <c r="L38" s="7"/>
      <c r="M38" s="7"/>
      <c r="N38" s="8"/>
      <c r="O38" s="6" t="str">
        <f aca="false">IF(OR(I38="Partial",I38="Not implemented"),"Yes","")</f>
        <v/>
      </c>
    </row>
    <row r="39" customFormat="false" ht="23.85" hidden="false" customHeight="false" outlineLevel="0" collapsed="false">
      <c r="A39" s="6" t="n">
        <v>3</v>
      </c>
      <c r="B39" s="6" t="s">
        <v>152</v>
      </c>
      <c r="C39" s="6" t="s">
        <v>173</v>
      </c>
      <c r="D39" s="6" t="s">
        <v>174</v>
      </c>
      <c r="E39" s="6" t="s">
        <v>186</v>
      </c>
      <c r="F39" s="6" t="s">
        <v>187</v>
      </c>
      <c r="G39" s="6" t="s">
        <v>48</v>
      </c>
      <c r="H39" s="6" t="s">
        <v>188</v>
      </c>
      <c r="I39" s="7"/>
      <c r="J39" s="7"/>
      <c r="K39" s="7"/>
      <c r="L39" s="7"/>
      <c r="M39" s="7"/>
      <c r="N39" s="8"/>
      <c r="O39" s="6" t="str">
        <f aca="false">IF(OR(I39="Partial",I39="Not implemented"),"Yes","")</f>
        <v/>
      </c>
    </row>
    <row r="40" customFormat="false" ht="23.85" hidden="false" customHeight="false" outlineLevel="0" collapsed="false">
      <c r="A40" s="6" t="n">
        <v>3</v>
      </c>
      <c r="B40" s="6" t="s">
        <v>152</v>
      </c>
      <c r="C40" s="6" t="s">
        <v>189</v>
      </c>
      <c r="D40" s="6" t="s">
        <v>190</v>
      </c>
      <c r="E40" s="6" t="s">
        <v>191</v>
      </c>
      <c r="F40" s="6" t="s">
        <v>192</v>
      </c>
      <c r="G40" s="6" t="s">
        <v>48</v>
      </c>
      <c r="H40" s="6" t="s">
        <v>193</v>
      </c>
      <c r="I40" s="7"/>
      <c r="J40" s="7"/>
      <c r="K40" s="7"/>
      <c r="L40" s="7"/>
      <c r="M40" s="7"/>
      <c r="N40" s="8"/>
      <c r="O40" s="6" t="str">
        <f aca="false">IF(OR(I40="Partial",I40="Not implemented"),"Yes","")</f>
        <v/>
      </c>
    </row>
    <row r="41" customFormat="false" ht="23.85" hidden="false" customHeight="false" outlineLevel="0" collapsed="false">
      <c r="A41" s="6" t="n">
        <v>3</v>
      </c>
      <c r="B41" s="6" t="s">
        <v>152</v>
      </c>
      <c r="C41" s="6" t="s">
        <v>189</v>
      </c>
      <c r="D41" s="6" t="s">
        <v>190</v>
      </c>
      <c r="E41" s="6" t="s">
        <v>194</v>
      </c>
      <c r="F41" s="6" t="s">
        <v>195</v>
      </c>
      <c r="G41" s="6" t="s">
        <v>71</v>
      </c>
      <c r="H41" s="6" t="s">
        <v>196</v>
      </c>
      <c r="I41" s="7"/>
      <c r="J41" s="7"/>
      <c r="K41" s="7"/>
      <c r="L41" s="7"/>
      <c r="M41" s="7"/>
      <c r="N41" s="8"/>
      <c r="O41" s="6" t="str">
        <f aca="false">IF(OR(I41="Partial",I41="Not implemented"),"Yes","")</f>
        <v/>
      </c>
    </row>
    <row r="42" customFormat="false" ht="15" hidden="false" customHeight="false" outlineLevel="0" collapsed="false">
      <c r="A42" s="6" t="n">
        <v>3</v>
      </c>
      <c r="B42" s="6" t="s">
        <v>152</v>
      </c>
      <c r="C42" s="6" t="s">
        <v>197</v>
      </c>
      <c r="D42" s="6" t="s">
        <v>198</v>
      </c>
      <c r="E42" s="6" t="s">
        <v>199</v>
      </c>
      <c r="F42" s="6" t="s">
        <v>200</v>
      </c>
      <c r="G42" s="6" t="s">
        <v>48</v>
      </c>
      <c r="H42" s="6" t="s">
        <v>201</v>
      </c>
      <c r="I42" s="7"/>
      <c r="J42" s="7"/>
      <c r="K42" s="7"/>
      <c r="L42" s="7"/>
      <c r="M42" s="7"/>
      <c r="N42" s="8"/>
      <c r="O42" s="6" t="str">
        <f aca="false">IF(OR(I42="Partial",I42="Not implemented"),"Yes","")</f>
        <v/>
      </c>
    </row>
    <row r="43" customFormat="false" ht="15" hidden="false" customHeight="false" outlineLevel="0" collapsed="false">
      <c r="A43" s="6" t="n">
        <v>3</v>
      </c>
      <c r="B43" s="6" t="s">
        <v>152</v>
      </c>
      <c r="C43" s="6" t="s">
        <v>197</v>
      </c>
      <c r="D43" s="6" t="s">
        <v>198</v>
      </c>
      <c r="E43" s="6" t="s">
        <v>202</v>
      </c>
      <c r="F43" s="6" t="s">
        <v>203</v>
      </c>
      <c r="G43" s="6" t="s">
        <v>71</v>
      </c>
      <c r="H43" s="6" t="s">
        <v>204</v>
      </c>
      <c r="I43" s="7"/>
      <c r="J43" s="7"/>
      <c r="K43" s="7"/>
      <c r="L43" s="7"/>
      <c r="M43" s="7"/>
      <c r="N43" s="8"/>
      <c r="O43" s="6" t="str">
        <f aca="false">IF(OR(I43="Partial",I43="Not implemented"),"Yes","")</f>
        <v/>
      </c>
    </row>
    <row r="44" customFormat="false" ht="23.85" hidden="false" customHeight="false" outlineLevel="0" collapsed="false">
      <c r="A44" s="6" t="n">
        <v>4</v>
      </c>
      <c r="B44" s="6" t="s">
        <v>205</v>
      </c>
      <c r="C44" s="6" t="s">
        <v>206</v>
      </c>
      <c r="D44" s="6" t="s">
        <v>207</v>
      </c>
      <c r="E44" s="6" t="s">
        <v>208</v>
      </c>
      <c r="F44" s="6" t="s">
        <v>209</v>
      </c>
      <c r="G44" s="6" t="s">
        <v>48</v>
      </c>
      <c r="H44" s="6" t="s">
        <v>210</v>
      </c>
      <c r="I44" s="7"/>
      <c r="J44" s="7"/>
      <c r="K44" s="7"/>
      <c r="L44" s="7"/>
      <c r="M44" s="7"/>
      <c r="N44" s="8"/>
      <c r="O44" s="6" t="str">
        <f aca="false">IF(OR(I44="Partial",I44="Not implemented"),"Yes","")</f>
        <v/>
      </c>
    </row>
    <row r="45" customFormat="false" ht="23.85" hidden="false" customHeight="false" outlineLevel="0" collapsed="false">
      <c r="A45" s="6" t="n">
        <v>4</v>
      </c>
      <c r="B45" s="6" t="s">
        <v>205</v>
      </c>
      <c r="C45" s="6" t="s">
        <v>206</v>
      </c>
      <c r="D45" s="6" t="s">
        <v>207</v>
      </c>
      <c r="E45" s="6" t="s">
        <v>211</v>
      </c>
      <c r="F45" s="6" t="s">
        <v>212</v>
      </c>
      <c r="G45" s="6" t="s">
        <v>48</v>
      </c>
      <c r="H45" s="6" t="s">
        <v>210</v>
      </c>
      <c r="I45" s="7"/>
      <c r="J45" s="7"/>
      <c r="K45" s="7"/>
      <c r="L45" s="7"/>
      <c r="M45" s="7"/>
      <c r="N45" s="8"/>
      <c r="O45" s="6" t="str">
        <f aca="false">IF(OR(I45="Partial",I45="Not implemented"),"Yes","")</f>
        <v/>
      </c>
    </row>
    <row r="46" customFormat="false" ht="23.85" hidden="false" customHeight="false" outlineLevel="0" collapsed="false">
      <c r="A46" s="6" t="n">
        <v>4</v>
      </c>
      <c r="B46" s="6" t="s">
        <v>205</v>
      </c>
      <c r="C46" s="6" t="s">
        <v>213</v>
      </c>
      <c r="D46" s="6" t="s">
        <v>214</v>
      </c>
      <c r="E46" s="6" t="s">
        <v>215</v>
      </c>
      <c r="F46" s="6" t="s">
        <v>216</v>
      </c>
      <c r="G46" s="6" t="s">
        <v>48</v>
      </c>
      <c r="H46" s="6" t="s">
        <v>217</v>
      </c>
      <c r="I46" s="7"/>
      <c r="J46" s="7"/>
      <c r="K46" s="7"/>
      <c r="L46" s="7"/>
      <c r="M46" s="7"/>
      <c r="N46" s="8"/>
      <c r="O46" s="6" t="str">
        <f aca="false">IF(OR(I46="Partial",I46="Not implemented"),"Yes","")</f>
        <v/>
      </c>
    </row>
    <row r="47" customFormat="false" ht="23.85" hidden="false" customHeight="false" outlineLevel="0" collapsed="false">
      <c r="A47" s="6" t="n">
        <v>4</v>
      </c>
      <c r="B47" s="6" t="s">
        <v>205</v>
      </c>
      <c r="C47" s="6" t="s">
        <v>213</v>
      </c>
      <c r="D47" s="6" t="s">
        <v>214</v>
      </c>
      <c r="E47" s="6" t="s">
        <v>218</v>
      </c>
      <c r="F47" s="6" t="s">
        <v>219</v>
      </c>
      <c r="G47" s="6" t="s">
        <v>48</v>
      </c>
      <c r="H47" s="6" t="s">
        <v>220</v>
      </c>
      <c r="I47" s="7"/>
      <c r="J47" s="7"/>
      <c r="K47" s="7"/>
      <c r="L47" s="7"/>
      <c r="M47" s="7"/>
      <c r="N47" s="8"/>
      <c r="O47" s="6" t="str">
        <f aca="false">IF(OR(I47="Partial",I47="Not implemented"),"Yes","")</f>
        <v/>
      </c>
    </row>
    <row r="48" customFormat="false" ht="23.85" hidden="false" customHeight="false" outlineLevel="0" collapsed="false">
      <c r="A48" s="6" t="n">
        <v>4</v>
      </c>
      <c r="B48" s="6" t="s">
        <v>205</v>
      </c>
      <c r="C48" s="6" t="s">
        <v>213</v>
      </c>
      <c r="D48" s="6" t="s">
        <v>214</v>
      </c>
      <c r="E48" s="6" t="s">
        <v>221</v>
      </c>
      <c r="F48" s="6" t="s">
        <v>222</v>
      </c>
      <c r="G48" s="6" t="s">
        <v>71</v>
      </c>
      <c r="H48" s="6" t="s">
        <v>223</v>
      </c>
      <c r="I48" s="7"/>
      <c r="J48" s="7"/>
      <c r="K48" s="7"/>
      <c r="L48" s="7"/>
      <c r="M48" s="7"/>
      <c r="N48" s="8"/>
      <c r="O48" s="6" t="str">
        <f aca="false">IF(OR(I48="Partial",I48="Not implemented"),"Yes","")</f>
        <v/>
      </c>
    </row>
    <row r="49" customFormat="false" ht="23.85" hidden="false" customHeight="false" outlineLevel="0" collapsed="false">
      <c r="A49" s="6" t="n">
        <v>4</v>
      </c>
      <c r="B49" s="6" t="s">
        <v>205</v>
      </c>
      <c r="C49" s="6" t="s">
        <v>224</v>
      </c>
      <c r="D49" s="6" t="s">
        <v>225</v>
      </c>
      <c r="E49" s="6" t="s">
        <v>226</v>
      </c>
      <c r="F49" s="6" t="s">
        <v>227</v>
      </c>
      <c r="G49" s="6" t="s">
        <v>48</v>
      </c>
      <c r="H49" s="6" t="s">
        <v>228</v>
      </c>
      <c r="I49" s="7"/>
      <c r="J49" s="7"/>
      <c r="K49" s="7"/>
      <c r="L49" s="7"/>
      <c r="M49" s="7"/>
      <c r="N49" s="8"/>
      <c r="O49" s="6" t="str">
        <f aca="false">IF(OR(I49="Partial",I49="Not implemented"),"Yes","")</f>
        <v/>
      </c>
    </row>
    <row r="50" customFormat="false" ht="23.85" hidden="false" customHeight="false" outlineLevel="0" collapsed="false">
      <c r="A50" s="6" t="n">
        <v>4</v>
      </c>
      <c r="B50" s="6" t="s">
        <v>205</v>
      </c>
      <c r="C50" s="6" t="s">
        <v>224</v>
      </c>
      <c r="D50" s="6" t="s">
        <v>225</v>
      </c>
      <c r="E50" s="6" t="s">
        <v>229</v>
      </c>
      <c r="F50" s="6" t="s">
        <v>230</v>
      </c>
      <c r="G50" s="6" t="s">
        <v>48</v>
      </c>
      <c r="H50" s="6" t="s">
        <v>147</v>
      </c>
      <c r="I50" s="7"/>
      <c r="J50" s="7"/>
      <c r="K50" s="7"/>
      <c r="L50" s="7"/>
      <c r="M50" s="7"/>
      <c r="N50" s="8"/>
      <c r="O50" s="6" t="str">
        <f aca="false">IF(OR(I50="Partial",I50="Not implemented"),"Yes","")</f>
        <v/>
      </c>
    </row>
    <row r="51" customFormat="false" ht="23.85" hidden="false" customHeight="false" outlineLevel="0" collapsed="false">
      <c r="A51" s="6" t="n">
        <v>4</v>
      </c>
      <c r="B51" s="6" t="s">
        <v>205</v>
      </c>
      <c r="C51" s="6" t="s">
        <v>231</v>
      </c>
      <c r="D51" s="6" t="s">
        <v>232</v>
      </c>
      <c r="E51" s="6" t="s">
        <v>233</v>
      </c>
      <c r="F51" s="6" t="s">
        <v>234</v>
      </c>
      <c r="G51" s="6" t="s">
        <v>48</v>
      </c>
      <c r="H51" s="6" t="s">
        <v>223</v>
      </c>
      <c r="I51" s="7"/>
      <c r="J51" s="7"/>
      <c r="K51" s="7"/>
      <c r="L51" s="7"/>
      <c r="M51" s="7"/>
      <c r="N51" s="8"/>
      <c r="O51" s="6" t="str">
        <f aca="false">IF(OR(I51="Partial",I51="Not implemented"),"Yes","")</f>
        <v/>
      </c>
    </row>
    <row r="52" customFormat="false" ht="23.85" hidden="false" customHeight="false" outlineLevel="0" collapsed="false">
      <c r="A52" s="6" t="n">
        <v>4</v>
      </c>
      <c r="B52" s="6" t="s">
        <v>205</v>
      </c>
      <c r="C52" s="6" t="s">
        <v>231</v>
      </c>
      <c r="D52" s="6" t="s">
        <v>232</v>
      </c>
      <c r="E52" s="6" t="s">
        <v>235</v>
      </c>
      <c r="F52" s="6" t="s">
        <v>236</v>
      </c>
      <c r="G52" s="6" t="s">
        <v>48</v>
      </c>
      <c r="H52" s="6" t="s">
        <v>147</v>
      </c>
      <c r="I52" s="7"/>
      <c r="J52" s="7"/>
      <c r="K52" s="7"/>
      <c r="L52" s="7"/>
      <c r="M52" s="7"/>
      <c r="N52" s="8"/>
      <c r="O52" s="6" t="str">
        <f aca="false">IF(OR(I52="Partial",I52="Not implemented"),"Yes","")</f>
        <v/>
      </c>
    </row>
    <row r="53" customFormat="false" ht="23.85" hidden="false" customHeight="false" outlineLevel="0" collapsed="false">
      <c r="A53" s="6" t="n">
        <v>4</v>
      </c>
      <c r="B53" s="6" t="s">
        <v>205</v>
      </c>
      <c r="C53" s="6" t="s">
        <v>231</v>
      </c>
      <c r="D53" s="6" t="s">
        <v>232</v>
      </c>
      <c r="E53" s="6" t="s">
        <v>237</v>
      </c>
      <c r="F53" s="6" t="s">
        <v>238</v>
      </c>
      <c r="G53" s="6" t="s">
        <v>48</v>
      </c>
      <c r="H53" s="6" t="s">
        <v>147</v>
      </c>
      <c r="I53" s="7"/>
      <c r="J53" s="7"/>
      <c r="K53" s="7"/>
      <c r="L53" s="7"/>
      <c r="M53" s="7"/>
      <c r="N53" s="8"/>
      <c r="O53" s="6" t="str">
        <f aca="false">IF(OR(I53="Partial",I53="Not implemented"),"Yes","")</f>
        <v/>
      </c>
    </row>
    <row r="54" customFormat="false" ht="23.85" hidden="false" customHeight="false" outlineLevel="0" collapsed="false">
      <c r="A54" s="6" t="n">
        <v>5</v>
      </c>
      <c r="B54" s="6" t="s">
        <v>239</v>
      </c>
      <c r="C54" s="6" t="s">
        <v>240</v>
      </c>
      <c r="D54" s="6" t="s">
        <v>241</v>
      </c>
      <c r="E54" s="6" t="s">
        <v>242</v>
      </c>
      <c r="F54" s="6" t="s">
        <v>243</v>
      </c>
      <c r="G54" s="6" t="s">
        <v>71</v>
      </c>
      <c r="H54" s="6" t="s">
        <v>244</v>
      </c>
      <c r="I54" s="7"/>
      <c r="J54" s="7"/>
      <c r="K54" s="7"/>
      <c r="L54" s="7"/>
      <c r="M54" s="7"/>
      <c r="N54" s="8"/>
      <c r="O54" s="6" t="str">
        <f aca="false">IF(OR(I54="Partial",I54="Not implemented"),"Yes","")</f>
        <v/>
      </c>
    </row>
    <row r="55" customFormat="false" ht="23.85" hidden="false" customHeight="false" outlineLevel="0" collapsed="false">
      <c r="A55" s="6" t="n">
        <v>5</v>
      </c>
      <c r="B55" s="6" t="s">
        <v>239</v>
      </c>
      <c r="C55" s="6" t="s">
        <v>240</v>
      </c>
      <c r="D55" s="6" t="s">
        <v>241</v>
      </c>
      <c r="E55" s="6" t="s">
        <v>245</v>
      </c>
      <c r="F55" s="6" t="s">
        <v>246</v>
      </c>
      <c r="G55" s="6" t="s">
        <v>71</v>
      </c>
      <c r="H55" s="6" t="s">
        <v>247</v>
      </c>
      <c r="I55" s="7"/>
      <c r="J55" s="7"/>
      <c r="K55" s="7"/>
      <c r="L55" s="7"/>
      <c r="M55" s="7"/>
      <c r="N55" s="8"/>
      <c r="O55" s="6" t="str">
        <f aca="false">IF(OR(I55="Partial",I55="Not implemented"),"Yes","")</f>
        <v/>
      </c>
    </row>
    <row r="56" customFormat="false" ht="23.85" hidden="false" customHeight="false" outlineLevel="0" collapsed="false">
      <c r="A56" s="6" t="n">
        <v>5</v>
      </c>
      <c r="B56" s="6" t="s">
        <v>239</v>
      </c>
      <c r="C56" s="6" t="s">
        <v>240</v>
      </c>
      <c r="D56" s="6" t="s">
        <v>241</v>
      </c>
      <c r="E56" s="6" t="s">
        <v>248</v>
      </c>
      <c r="F56" s="6" t="s">
        <v>249</v>
      </c>
      <c r="G56" s="6" t="s">
        <v>71</v>
      </c>
      <c r="H56" s="6" t="s">
        <v>250</v>
      </c>
      <c r="I56" s="7"/>
      <c r="J56" s="7"/>
      <c r="K56" s="7"/>
      <c r="L56" s="7"/>
      <c r="M56" s="7"/>
      <c r="N56" s="8"/>
      <c r="O56" s="6" t="str">
        <f aca="false">IF(OR(I56="Partial",I56="Not implemented"),"Yes","")</f>
        <v/>
      </c>
    </row>
    <row r="57" customFormat="false" ht="23.85" hidden="false" customHeight="false" outlineLevel="0" collapsed="false">
      <c r="A57" s="6" t="n">
        <v>5</v>
      </c>
      <c r="B57" s="6" t="s">
        <v>239</v>
      </c>
      <c r="C57" s="6" t="s">
        <v>240</v>
      </c>
      <c r="D57" s="6" t="s">
        <v>241</v>
      </c>
      <c r="E57" s="6" t="s">
        <v>251</v>
      </c>
      <c r="F57" s="6" t="s">
        <v>252</v>
      </c>
      <c r="G57" s="6" t="s">
        <v>71</v>
      </c>
      <c r="H57" s="6" t="s">
        <v>253</v>
      </c>
      <c r="I57" s="7"/>
      <c r="J57" s="7"/>
      <c r="K57" s="7"/>
      <c r="L57" s="7"/>
      <c r="M57" s="7"/>
      <c r="N57" s="8"/>
      <c r="O57" s="6" t="str">
        <f aca="false">IF(OR(I57="Partial",I57="Not implemented"),"Yes","")</f>
        <v/>
      </c>
    </row>
    <row r="58" customFormat="false" ht="23.85" hidden="false" customHeight="false" outlineLevel="0" collapsed="false">
      <c r="A58" s="6" t="n">
        <v>5</v>
      </c>
      <c r="B58" s="6" t="s">
        <v>239</v>
      </c>
      <c r="C58" s="6" t="s">
        <v>254</v>
      </c>
      <c r="D58" s="6" t="s">
        <v>255</v>
      </c>
      <c r="E58" s="6" t="s">
        <v>256</v>
      </c>
      <c r="F58" s="6" t="s">
        <v>257</v>
      </c>
      <c r="G58" s="6" t="s">
        <v>71</v>
      </c>
      <c r="H58" s="6" t="s">
        <v>258</v>
      </c>
      <c r="I58" s="7"/>
      <c r="J58" s="7"/>
      <c r="K58" s="7"/>
      <c r="L58" s="7"/>
      <c r="M58" s="7"/>
      <c r="N58" s="8"/>
      <c r="O58" s="6" t="str">
        <f aca="false">IF(OR(I58="Partial",I58="Not implemented"),"Yes","")</f>
        <v/>
      </c>
    </row>
    <row r="59" customFormat="false" ht="23.85" hidden="false" customHeight="false" outlineLevel="0" collapsed="false">
      <c r="A59" s="6" t="n">
        <v>5</v>
      </c>
      <c r="B59" s="6" t="s">
        <v>239</v>
      </c>
      <c r="C59" s="6" t="s">
        <v>254</v>
      </c>
      <c r="D59" s="6" t="s">
        <v>255</v>
      </c>
      <c r="E59" s="6" t="s">
        <v>259</v>
      </c>
      <c r="F59" s="6" t="s">
        <v>260</v>
      </c>
      <c r="G59" s="6" t="s">
        <v>71</v>
      </c>
      <c r="H59" s="6" t="s">
        <v>261</v>
      </c>
      <c r="I59" s="7"/>
      <c r="J59" s="7"/>
      <c r="K59" s="7"/>
      <c r="L59" s="7"/>
      <c r="M59" s="7"/>
      <c r="N59" s="8"/>
      <c r="O59" s="6" t="str">
        <f aca="false">IF(OR(I59="Partial",I59="Not implemented"),"Yes","")</f>
        <v/>
      </c>
    </row>
    <row r="60" customFormat="false" ht="23.85" hidden="false" customHeight="false" outlineLevel="0" collapsed="false">
      <c r="A60" s="6" t="n">
        <v>5</v>
      </c>
      <c r="B60" s="6" t="s">
        <v>239</v>
      </c>
      <c r="C60" s="6" t="s">
        <v>262</v>
      </c>
      <c r="D60" s="6" t="s">
        <v>263</v>
      </c>
      <c r="E60" s="6" t="s">
        <v>264</v>
      </c>
      <c r="F60" s="6" t="s">
        <v>265</v>
      </c>
      <c r="G60" s="6" t="s">
        <v>48</v>
      </c>
      <c r="H60" s="6" t="s">
        <v>266</v>
      </c>
      <c r="I60" s="7"/>
      <c r="J60" s="7"/>
      <c r="K60" s="7"/>
      <c r="L60" s="7"/>
      <c r="M60" s="7"/>
      <c r="N60" s="8"/>
      <c r="O60" s="6" t="str">
        <f aca="false">IF(OR(I60="Partial",I60="Not implemented"),"Yes","")</f>
        <v/>
      </c>
    </row>
    <row r="61" customFormat="false" ht="23.85" hidden="false" customHeight="false" outlineLevel="0" collapsed="false">
      <c r="A61" s="6" t="n">
        <v>5</v>
      </c>
      <c r="B61" s="6" t="s">
        <v>239</v>
      </c>
      <c r="C61" s="6" t="s">
        <v>262</v>
      </c>
      <c r="D61" s="6" t="s">
        <v>263</v>
      </c>
      <c r="E61" s="6" t="s">
        <v>267</v>
      </c>
      <c r="F61" s="6" t="s">
        <v>268</v>
      </c>
      <c r="G61" s="6" t="s">
        <v>71</v>
      </c>
      <c r="H61" s="6" t="s">
        <v>147</v>
      </c>
      <c r="I61" s="7"/>
      <c r="J61" s="7"/>
      <c r="K61" s="7"/>
      <c r="L61" s="7"/>
      <c r="M61" s="7"/>
      <c r="N61" s="8"/>
      <c r="O61" s="6" t="str">
        <f aca="false">IF(OR(I61="Partial",I61="Not implemented"),"Yes","")</f>
        <v/>
      </c>
    </row>
    <row r="62" customFormat="false" ht="23.85" hidden="false" customHeight="false" outlineLevel="0" collapsed="false">
      <c r="A62" s="6" t="n">
        <v>5</v>
      </c>
      <c r="B62" s="6" t="s">
        <v>239</v>
      </c>
      <c r="C62" s="6" t="s">
        <v>269</v>
      </c>
      <c r="D62" s="6" t="s">
        <v>270</v>
      </c>
      <c r="E62" s="6" t="s">
        <v>271</v>
      </c>
      <c r="F62" s="6" t="s">
        <v>272</v>
      </c>
      <c r="G62" s="6" t="s">
        <v>71</v>
      </c>
      <c r="H62" s="6" t="s">
        <v>273</v>
      </c>
      <c r="I62" s="7"/>
      <c r="J62" s="7"/>
      <c r="K62" s="7"/>
      <c r="L62" s="7"/>
      <c r="M62" s="7"/>
      <c r="N62" s="8"/>
      <c r="O62" s="6" t="str">
        <f aca="false">IF(OR(I62="Partial",I62="Not implemented"),"Yes","")</f>
        <v/>
      </c>
    </row>
    <row r="63" customFormat="false" ht="23.85" hidden="false" customHeight="false" outlineLevel="0" collapsed="false">
      <c r="A63" s="6" t="n">
        <v>5</v>
      </c>
      <c r="B63" s="6" t="s">
        <v>239</v>
      </c>
      <c r="C63" s="6" t="s">
        <v>269</v>
      </c>
      <c r="D63" s="6" t="s">
        <v>270</v>
      </c>
      <c r="E63" s="6" t="s">
        <v>274</v>
      </c>
      <c r="F63" s="6" t="s">
        <v>275</v>
      </c>
      <c r="G63" s="6" t="s">
        <v>48</v>
      </c>
      <c r="H63" s="6" t="s">
        <v>276</v>
      </c>
      <c r="I63" s="7"/>
      <c r="J63" s="7"/>
      <c r="K63" s="7"/>
      <c r="L63" s="7"/>
      <c r="M63" s="7"/>
      <c r="N63" s="8"/>
      <c r="O63" s="6" t="str">
        <f aca="false">IF(OR(I63="Partial",I63="Not implemented"),"Yes","")</f>
        <v/>
      </c>
    </row>
    <row r="64" customFormat="false" ht="23.85" hidden="false" customHeight="false" outlineLevel="0" collapsed="false">
      <c r="A64" s="6" t="n">
        <v>6</v>
      </c>
      <c r="B64" s="6" t="s">
        <v>277</v>
      </c>
      <c r="C64" s="6" t="s">
        <v>278</v>
      </c>
      <c r="D64" s="6" t="s">
        <v>279</v>
      </c>
      <c r="E64" s="6" t="s">
        <v>280</v>
      </c>
      <c r="F64" s="6" t="s">
        <v>281</v>
      </c>
      <c r="G64" s="6" t="s">
        <v>71</v>
      </c>
      <c r="H64" s="6" t="s">
        <v>147</v>
      </c>
      <c r="I64" s="7"/>
      <c r="J64" s="7"/>
      <c r="K64" s="7"/>
      <c r="L64" s="7"/>
      <c r="M64" s="7"/>
      <c r="N64" s="8"/>
      <c r="O64" s="6" t="str">
        <f aca="false">IF(OR(I64="Partial",I64="Not implemented"),"Yes","")</f>
        <v/>
      </c>
    </row>
    <row r="65" customFormat="false" ht="23.85" hidden="false" customHeight="false" outlineLevel="0" collapsed="false">
      <c r="A65" s="6" t="n">
        <v>6</v>
      </c>
      <c r="B65" s="6" t="s">
        <v>277</v>
      </c>
      <c r="C65" s="6" t="s">
        <v>278</v>
      </c>
      <c r="D65" s="6" t="s">
        <v>279</v>
      </c>
      <c r="E65" s="6" t="s">
        <v>282</v>
      </c>
      <c r="F65" s="6" t="s">
        <v>283</v>
      </c>
      <c r="G65" s="6" t="s">
        <v>48</v>
      </c>
      <c r="H65" s="6" t="s">
        <v>284</v>
      </c>
      <c r="I65" s="7"/>
      <c r="J65" s="7"/>
      <c r="K65" s="7"/>
      <c r="L65" s="7"/>
      <c r="M65" s="7"/>
      <c r="N65" s="8"/>
      <c r="O65" s="6" t="str">
        <f aca="false">IF(OR(I65="Partial",I65="Not implemented"),"Yes","")</f>
        <v/>
      </c>
    </row>
    <row r="66" customFormat="false" ht="23.85" hidden="false" customHeight="false" outlineLevel="0" collapsed="false">
      <c r="A66" s="6" t="n">
        <v>6</v>
      </c>
      <c r="B66" s="6" t="s">
        <v>277</v>
      </c>
      <c r="C66" s="6" t="s">
        <v>285</v>
      </c>
      <c r="D66" s="6" t="s">
        <v>286</v>
      </c>
      <c r="E66" s="6" t="s">
        <v>287</v>
      </c>
      <c r="F66" s="6" t="s">
        <v>288</v>
      </c>
      <c r="G66" s="6" t="s">
        <v>48</v>
      </c>
      <c r="H66" s="6" t="s">
        <v>289</v>
      </c>
      <c r="I66" s="7"/>
      <c r="J66" s="7"/>
      <c r="K66" s="7"/>
      <c r="L66" s="7"/>
      <c r="M66" s="7"/>
      <c r="N66" s="8"/>
      <c r="O66" s="6" t="str">
        <f aca="false">IF(OR(I66="Partial",I66="Not implemented"),"Yes","")</f>
        <v/>
      </c>
    </row>
    <row r="67" customFormat="false" ht="23.85" hidden="false" customHeight="false" outlineLevel="0" collapsed="false">
      <c r="A67" s="6" t="n">
        <v>6</v>
      </c>
      <c r="B67" s="6" t="s">
        <v>277</v>
      </c>
      <c r="C67" s="6" t="s">
        <v>285</v>
      </c>
      <c r="D67" s="6" t="s">
        <v>286</v>
      </c>
      <c r="E67" s="6" t="s">
        <v>290</v>
      </c>
      <c r="F67" s="6" t="s">
        <v>291</v>
      </c>
      <c r="G67" s="6" t="s">
        <v>48</v>
      </c>
      <c r="H67" s="6" t="s">
        <v>292</v>
      </c>
      <c r="I67" s="7"/>
      <c r="J67" s="7"/>
      <c r="K67" s="7"/>
      <c r="L67" s="7"/>
      <c r="M67" s="7"/>
      <c r="N67" s="8"/>
      <c r="O67" s="6" t="str">
        <f aca="false">IF(OR(I67="Partial",I67="Not implemented"),"Yes","")</f>
        <v/>
      </c>
    </row>
    <row r="68" customFormat="false" ht="23.85" hidden="false" customHeight="false" outlineLevel="0" collapsed="false">
      <c r="A68" s="6" t="n">
        <v>6</v>
      </c>
      <c r="B68" s="6" t="s">
        <v>277</v>
      </c>
      <c r="C68" s="6" t="s">
        <v>285</v>
      </c>
      <c r="D68" s="6" t="s">
        <v>286</v>
      </c>
      <c r="E68" s="6" t="s">
        <v>293</v>
      </c>
      <c r="F68" s="6" t="s">
        <v>294</v>
      </c>
      <c r="G68" s="6" t="s">
        <v>48</v>
      </c>
      <c r="H68" s="6" t="s">
        <v>289</v>
      </c>
      <c r="I68" s="7"/>
      <c r="J68" s="7"/>
      <c r="K68" s="7"/>
      <c r="L68" s="7"/>
      <c r="M68" s="7"/>
      <c r="N68" s="8"/>
      <c r="O68" s="6" t="str">
        <f aca="false">IF(OR(I68="Partial",I68="Not implemented"),"Yes","")</f>
        <v/>
      </c>
    </row>
    <row r="69" customFormat="false" ht="23.85" hidden="false" customHeight="false" outlineLevel="0" collapsed="false">
      <c r="A69" s="6" t="n">
        <v>6</v>
      </c>
      <c r="B69" s="6" t="s">
        <v>277</v>
      </c>
      <c r="C69" s="6" t="s">
        <v>295</v>
      </c>
      <c r="D69" s="6" t="s">
        <v>296</v>
      </c>
      <c r="E69" s="6" t="s">
        <v>297</v>
      </c>
      <c r="F69" s="6" t="s">
        <v>298</v>
      </c>
      <c r="G69" s="6" t="s">
        <v>48</v>
      </c>
      <c r="H69" s="6" t="s">
        <v>299</v>
      </c>
      <c r="I69" s="7"/>
      <c r="J69" s="7"/>
      <c r="K69" s="7"/>
      <c r="L69" s="7"/>
      <c r="M69" s="7"/>
      <c r="N69" s="8"/>
      <c r="O69" s="6" t="str">
        <f aca="false">IF(OR(I69="Partial",I69="Not implemented"),"Yes","")</f>
        <v/>
      </c>
    </row>
    <row r="70" customFormat="false" ht="23.85" hidden="false" customHeight="false" outlineLevel="0" collapsed="false">
      <c r="A70" s="6" t="n">
        <v>6</v>
      </c>
      <c r="B70" s="6" t="s">
        <v>277</v>
      </c>
      <c r="C70" s="6" t="s">
        <v>295</v>
      </c>
      <c r="D70" s="6" t="s">
        <v>296</v>
      </c>
      <c r="E70" s="6" t="s">
        <v>300</v>
      </c>
      <c r="F70" s="6" t="s">
        <v>301</v>
      </c>
      <c r="G70" s="6" t="s">
        <v>48</v>
      </c>
      <c r="H70" s="6" t="s">
        <v>302</v>
      </c>
      <c r="I70" s="7"/>
      <c r="J70" s="7"/>
      <c r="K70" s="7"/>
      <c r="L70" s="7"/>
      <c r="M70" s="7"/>
      <c r="N70" s="8"/>
      <c r="O70" s="6" t="str">
        <f aca="false">IF(OR(I70="Partial",I70="Not implemented"),"Yes","")</f>
        <v/>
      </c>
    </row>
    <row r="71" customFormat="false" ht="23.85" hidden="false" customHeight="false" outlineLevel="0" collapsed="false">
      <c r="A71" s="6" t="n">
        <v>6</v>
      </c>
      <c r="B71" s="6" t="s">
        <v>277</v>
      </c>
      <c r="C71" s="6" t="s">
        <v>295</v>
      </c>
      <c r="D71" s="6" t="s">
        <v>296</v>
      </c>
      <c r="E71" s="6" t="s">
        <v>303</v>
      </c>
      <c r="F71" s="6" t="s">
        <v>304</v>
      </c>
      <c r="G71" s="6" t="s">
        <v>71</v>
      </c>
      <c r="H71" s="6" t="s">
        <v>305</v>
      </c>
      <c r="I71" s="7"/>
      <c r="J71" s="7"/>
      <c r="K71" s="7"/>
      <c r="L71" s="7"/>
      <c r="M71" s="7"/>
      <c r="N71" s="8"/>
      <c r="O71" s="6" t="str">
        <f aca="false">IF(OR(I71="Partial",I71="Not implemented"),"Yes","")</f>
        <v/>
      </c>
    </row>
    <row r="72" customFormat="false" ht="23.85" hidden="false" customHeight="false" outlineLevel="0" collapsed="false">
      <c r="A72" s="6" t="n">
        <v>6</v>
      </c>
      <c r="B72" s="6" t="s">
        <v>277</v>
      </c>
      <c r="C72" s="6" t="s">
        <v>295</v>
      </c>
      <c r="D72" s="6" t="s">
        <v>296</v>
      </c>
      <c r="E72" s="6" t="s">
        <v>306</v>
      </c>
      <c r="F72" s="6" t="s">
        <v>307</v>
      </c>
      <c r="G72" s="6" t="s">
        <v>48</v>
      </c>
      <c r="H72" s="6" t="s">
        <v>308</v>
      </c>
      <c r="I72" s="7"/>
      <c r="J72" s="7"/>
      <c r="K72" s="7"/>
      <c r="L72" s="7"/>
      <c r="M72" s="7"/>
      <c r="N72" s="8"/>
      <c r="O72" s="6" t="str">
        <f aca="false">IF(OR(I72="Partial",I72="Not implemented"),"Yes","")</f>
        <v/>
      </c>
    </row>
    <row r="73" customFormat="false" ht="23.85" hidden="false" customHeight="false" outlineLevel="0" collapsed="false">
      <c r="A73" s="6" t="n">
        <v>6</v>
      </c>
      <c r="B73" s="6" t="s">
        <v>277</v>
      </c>
      <c r="C73" s="6" t="s">
        <v>309</v>
      </c>
      <c r="D73" s="6" t="s">
        <v>310</v>
      </c>
      <c r="E73" s="6" t="s">
        <v>311</v>
      </c>
      <c r="F73" s="6" t="s">
        <v>312</v>
      </c>
      <c r="G73" s="6" t="s">
        <v>71</v>
      </c>
      <c r="H73" s="6" t="s">
        <v>147</v>
      </c>
      <c r="I73" s="7"/>
      <c r="J73" s="7"/>
      <c r="K73" s="7"/>
      <c r="L73" s="7"/>
      <c r="M73" s="7"/>
      <c r="N73" s="8"/>
      <c r="O73" s="6" t="str">
        <f aca="false">IF(OR(I73="Partial",I73="Not implemented"),"Yes","")</f>
        <v/>
      </c>
    </row>
    <row r="74" customFormat="false" ht="23.85" hidden="false" customHeight="false" outlineLevel="0" collapsed="false">
      <c r="A74" s="6" t="n">
        <v>6</v>
      </c>
      <c r="B74" s="6" t="s">
        <v>277</v>
      </c>
      <c r="C74" s="6" t="s">
        <v>309</v>
      </c>
      <c r="D74" s="6" t="s">
        <v>310</v>
      </c>
      <c r="E74" s="6" t="s">
        <v>313</v>
      </c>
      <c r="F74" s="6" t="s">
        <v>314</v>
      </c>
      <c r="G74" s="6" t="s">
        <v>71</v>
      </c>
      <c r="H74" s="6" t="s">
        <v>315</v>
      </c>
      <c r="I74" s="7"/>
      <c r="J74" s="7"/>
      <c r="K74" s="7"/>
      <c r="L74" s="7"/>
      <c r="M74" s="7"/>
      <c r="N74" s="8"/>
      <c r="O74" s="6" t="str">
        <f aca="false">IF(OR(I74="Partial",I74="Not implemented"),"Yes","")</f>
        <v/>
      </c>
    </row>
    <row r="75" customFormat="false" ht="23.85" hidden="false" customHeight="false" outlineLevel="0" collapsed="false">
      <c r="A75" s="6" t="n">
        <v>6</v>
      </c>
      <c r="B75" s="6" t="s">
        <v>277</v>
      </c>
      <c r="C75" s="6" t="s">
        <v>316</v>
      </c>
      <c r="D75" s="6" t="s">
        <v>317</v>
      </c>
      <c r="E75" s="6" t="s">
        <v>318</v>
      </c>
      <c r="F75" s="6" t="s">
        <v>319</v>
      </c>
      <c r="G75" s="6" t="s">
        <v>71</v>
      </c>
      <c r="H75" s="6" t="s">
        <v>305</v>
      </c>
      <c r="I75" s="7"/>
      <c r="J75" s="7"/>
      <c r="K75" s="7"/>
      <c r="L75" s="7"/>
      <c r="M75" s="7"/>
      <c r="N75" s="8"/>
      <c r="O75" s="6" t="str">
        <f aca="false">IF(OR(I75="Partial",I75="Not implemented"),"Yes","")</f>
        <v/>
      </c>
    </row>
    <row r="76" customFormat="false" ht="23.85" hidden="false" customHeight="false" outlineLevel="0" collapsed="false">
      <c r="A76" s="6" t="n">
        <v>6</v>
      </c>
      <c r="B76" s="6" t="s">
        <v>277</v>
      </c>
      <c r="C76" s="6" t="s">
        <v>316</v>
      </c>
      <c r="D76" s="6" t="s">
        <v>317</v>
      </c>
      <c r="E76" s="6" t="s">
        <v>320</v>
      </c>
      <c r="F76" s="6" t="s">
        <v>321</v>
      </c>
      <c r="G76" s="6" t="s">
        <v>48</v>
      </c>
      <c r="H76" s="6" t="s">
        <v>322</v>
      </c>
      <c r="I76" s="7"/>
      <c r="J76" s="7"/>
      <c r="K76" s="7"/>
      <c r="L76" s="7"/>
      <c r="M76" s="7"/>
      <c r="N76" s="8"/>
      <c r="O76" s="6" t="str">
        <f aca="false">IF(OR(I76="Partial",I76="Not implemented"),"Yes","")</f>
        <v/>
      </c>
    </row>
    <row r="77" customFormat="false" ht="23.85" hidden="false" customHeight="false" outlineLevel="0" collapsed="false">
      <c r="A77" s="6" t="n">
        <v>6</v>
      </c>
      <c r="B77" s="6" t="s">
        <v>277</v>
      </c>
      <c r="C77" s="6" t="s">
        <v>316</v>
      </c>
      <c r="D77" s="6" t="s">
        <v>317</v>
      </c>
      <c r="E77" s="6" t="s">
        <v>323</v>
      </c>
      <c r="F77" s="6" t="s">
        <v>324</v>
      </c>
      <c r="G77" s="6" t="s">
        <v>133</v>
      </c>
      <c r="H77" s="6" t="s">
        <v>147</v>
      </c>
      <c r="I77" s="7"/>
      <c r="J77" s="7"/>
      <c r="K77" s="7"/>
      <c r="L77" s="7"/>
      <c r="M77" s="7"/>
      <c r="N77" s="8"/>
      <c r="O77" s="6" t="str">
        <f aca="false">IF(OR(I77="Partial",I77="Not implemented"),"Yes","")</f>
        <v/>
      </c>
    </row>
    <row r="78" customFormat="false" ht="23.85" hidden="false" customHeight="false" outlineLevel="0" collapsed="false">
      <c r="A78" s="6" t="n">
        <v>7</v>
      </c>
      <c r="B78" s="6" t="s">
        <v>325</v>
      </c>
      <c r="C78" s="6" t="s">
        <v>326</v>
      </c>
      <c r="D78" s="6" t="s">
        <v>327</v>
      </c>
      <c r="E78" s="6" t="s">
        <v>328</v>
      </c>
      <c r="F78" s="6" t="s">
        <v>329</v>
      </c>
      <c r="G78" s="6" t="s">
        <v>48</v>
      </c>
      <c r="H78" s="6" t="s">
        <v>330</v>
      </c>
      <c r="I78" s="7"/>
      <c r="J78" s="7"/>
      <c r="K78" s="7"/>
      <c r="L78" s="7"/>
      <c r="M78" s="7"/>
      <c r="N78" s="8"/>
      <c r="O78" s="6" t="str">
        <f aca="false">IF(OR(I78="Partial",I78="Not implemented"),"Yes","")</f>
        <v/>
      </c>
    </row>
    <row r="79" customFormat="false" ht="23.85" hidden="false" customHeight="false" outlineLevel="0" collapsed="false">
      <c r="A79" s="6" t="n">
        <v>7</v>
      </c>
      <c r="B79" s="6" t="s">
        <v>325</v>
      </c>
      <c r="C79" s="6" t="s">
        <v>326</v>
      </c>
      <c r="D79" s="6" t="s">
        <v>327</v>
      </c>
      <c r="E79" s="6" t="s">
        <v>331</v>
      </c>
      <c r="F79" s="6" t="s">
        <v>332</v>
      </c>
      <c r="G79" s="6" t="s">
        <v>48</v>
      </c>
      <c r="H79" s="6" t="s">
        <v>147</v>
      </c>
      <c r="I79" s="7"/>
      <c r="J79" s="7"/>
      <c r="K79" s="7"/>
      <c r="L79" s="7"/>
      <c r="M79" s="7"/>
      <c r="N79" s="8"/>
      <c r="O79" s="6" t="str">
        <f aca="false">IF(OR(I79="Partial",I79="Not implemented"),"Yes","")</f>
        <v/>
      </c>
    </row>
    <row r="80" customFormat="false" ht="23.85" hidden="false" customHeight="false" outlineLevel="0" collapsed="false">
      <c r="A80" s="6" t="n">
        <v>7</v>
      </c>
      <c r="B80" s="6" t="s">
        <v>325</v>
      </c>
      <c r="C80" s="6" t="s">
        <v>333</v>
      </c>
      <c r="D80" s="6" t="s">
        <v>334</v>
      </c>
      <c r="E80" s="6" t="s">
        <v>335</v>
      </c>
      <c r="F80" s="6" t="s">
        <v>336</v>
      </c>
      <c r="G80" s="6" t="s">
        <v>48</v>
      </c>
      <c r="H80" s="6" t="s">
        <v>337</v>
      </c>
      <c r="I80" s="7"/>
      <c r="J80" s="7"/>
      <c r="K80" s="7"/>
      <c r="L80" s="7"/>
      <c r="M80" s="7"/>
      <c r="N80" s="8"/>
      <c r="O80" s="6" t="str">
        <f aca="false">IF(OR(I80="Partial",I80="Not implemented"),"Yes","")</f>
        <v/>
      </c>
    </row>
    <row r="81" customFormat="false" ht="23.85" hidden="false" customHeight="false" outlineLevel="0" collapsed="false">
      <c r="A81" s="6" t="n">
        <v>7</v>
      </c>
      <c r="B81" s="6" t="s">
        <v>325</v>
      </c>
      <c r="C81" s="6" t="s">
        <v>338</v>
      </c>
      <c r="D81" s="6" t="s">
        <v>339</v>
      </c>
      <c r="E81" s="6" t="s">
        <v>340</v>
      </c>
      <c r="F81" s="6" t="s">
        <v>341</v>
      </c>
      <c r="G81" s="6" t="s">
        <v>48</v>
      </c>
      <c r="H81" s="6" t="s">
        <v>342</v>
      </c>
      <c r="I81" s="7"/>
      <c r="J81" s="7"/>
      <c r="K81" s="7"/>
      <c r="L81" s="7"/>
      <c r="M81" s="7"/>
      <c r="N81" s="8"/>
      <c r="O81" s="6" t="str">
        <f aca="false">IF(OR(I81="Partial",I81="Not implemented"),"Yes","")</f>
        <v/>
      </c>
    </row>
    <row r="82" customFormat="false" ht="15" hidden="false" customHeight="false" outlineLevel="0" collapsed="false">
      <c r="A82" s="6" t="n">
        <v>7</v>
      </c>
      <c r="B82" s="6" t="s">
        <v>325</v>
      </c>
      <c r="C82" s="6" t="s">
        <v>338</v>
      </c>
      <c r="D82" s="6" t="s">
        <v>339</v>
      </c>
      <c r="E82" s="6" t="s">
        <v>343</v>
      </c>
      <c r="F82" s="6" t="s">
        <v>344</v>
      </c>
      <c r="G82" s="6" t="s">
        <v>71</v>
      </c>
      <c r="H82" s="6" t="s">
        <v>147</v>
      </c>
      <c r="I82" s="7"/>
      <c r="J82" s="7"/>
      <c r="K82" s="7"/>
      <c r="L82" s="7"/>
      <c r="M82" s="7"/>
      <c r="N82" s="8"/>
      <c r="O82" s="6" t="str">
        <f aca="false">IF(OR(I82="Partial",I82="Not implemented"),"Yes","")</f>
        <v/>
      </c>
    </row>
    <row r="83" customFormat="false" ht="23.85" hidden="false" customHeight="false" outlineLevel="0" collapsed="false">
      <c r="A83" s="6" t="n">
        <v>7</v>
      </c>
      <c r="B83" s="6" t="s">
        <v>325</v>
      </c>
      <c r="C83" s="6" t="s">
        <v>345</v>
      </c>
      <c r="D83" s="6" t="s">
        <v>346</v>
      </c>
      <c r="E83" s="6" t="s">
        <v>347</v>
      </c>
      <c r="F83" s="6" t="s">
        <v>348</v>
      </c>
      <c r="G83" s="6" t="s">
        <v>48</v>
      </c>
      <c r="H83" s="6" t="s">
        <v>349</v>
      </c>
      <c r="I83" s="7"/>
      <c r="J83" s="7"/>
      <c r="K83" s="7"/>
      <c r="L83" s="7"/>
      <c r="M83" s="7"/>
      <c r="N83" s="8"/>
      <c r="O83" s="6" t="str">
        <f aca="false">IF(OR(I83="Partial",I83="Not implemented"),"Yes","")</f>
        <v/>
      </c>
    </row>
    <row r="84" customFormat="false" ht="23.85" hidden="false" customHeight="false" outlineLevel="0" collapsed="false">
      <c r="A84" s="6" t="n">
        <v>7</v>
      </c>
      <c r="B84" s="6" t="s">
        <v>325</v>
      </c>
      <c r="C84" s="6" t="s">
        <v>350</v>
      </c>
      <c r="D84" s="6" t="s">
        <v>351</v>
      </c>
      <c r="E84" s="6" t="s">
        <v>352</v>
      </c>
      <c r="F84" s="6" t="s">
        <v>353</v>
      </c>
      <c r="G84" s="6" t="s">
        <v>71</v>
      </c>
      <c r="H84" s="6" t="s">
        <v>354</v>
      </c>
      <c r="I84" s="7"/>
      <c r="J84" s="7"/>
      <c r="K84" s="7"/>
      <c r="L84" s="7"/>
      <c r="M84" s="7"/>
      <c r="N84" s="8"/>
      <c r="O84" s="6" t="str">
        <f aca="false">IF(OR(I84="Partial",I84="Not implemented"),"Yes","")</f>
        <v/>
      </c>
    </row>
    <row r="85" customFormat="false" ht="23.85" hidden="false" customHeight="false" outlineLevel="0" collapsed="false">
      <c r="A85" s="6" t="n">
        <v>7</v>
      </c>
      <c r="B85" s="6" t="s">
        <v>325</v>
      </c>
      <c r="C85" s="6" t="s">
        <v>350</v>
      </c>
      <c r="D85" s="6" t="s">
        <v>351</v>
      </c>
      <c r="E85" s="6" t="s">
        <v>355</v>
      </c>
      <c r="F85" s="6" t="s">
        <v>356</v>
      </c>
      <c r="G85" s="6" t="s">
        <v>48</v>
      </c>
      <c r="H85" s="6" t="s">
        <v>147</v>
      </c>
      <c r="I85" s="7"/>
      <c r="J85" s="7"/>
      <c r="K85" s="7"/>
      <c r="L85" s="7"/>
      <c r="M85" s="7"/>
      <c r="N85" s="8"/>
      <c r="O85" s="6" t="str">
        <f aca="false">IF(OR(I85="Partial",I85="Not implemented"),"Yes","")</f>
        <v/>
      </c>
    </row>
    <row r="86" customFormat="false" ht="23.85" hidden="false" customHeight="false" outlineLevel="0" collapsed="false">
      <c r="A86" s="6" t="n">
        <v>8</v>
      </c>
      <c r="B86" s="6" t="s">
        <v>357</v>
      </c>
      <c r="C86" s="6" t="s">
        <v>358</v>
      </c>
      <c r="D86" s="6" t="s">
        <v>359</v>
      </c>
      <c r="E86" s="6" t="s">
        <v>360</v>
      </c>
      <c r="F86" s="6" t="s">
        <v>361</v>
      </c>
      <c r="G86" s="6" t="s">
        <v>48</v>
      </c>
      <c r="H86" s="6" t="s">
        <v>362</v>
      </c>
      <c r="I86" s="7"/>
      <c r="J86" s="7"/>
      <c r="K86" s="7"/>
      <c r="L86" s="7"/>
      <c r="M86" s="7"/>
      <c r="N86" s="8"/>
      <c r="O86" s="6" t="str">
        <f aca="false">IF(OR(I86="Partial",I86="Not implemented"),"Yes","")</f>
        <v/>
      </c>
    </row>
    <row r="87" customFormat="false" ht="23.85" hidden="false" customHeight="false" outlineLevel="0" collapsed="false">
      <c r="A87" s="6" t="n">
        <v>8</v>
      </c>
      <c r="B87" s="6" t="s">
        <v>357</v>
      </c>
      <c r="C87" s="6" t="s">
        <v>358</v>
      </c>
      <c r="D87" s="6" t="s">
        <v>359</v>
      </c>
      <c r="E87" s="6" t="s">
        <v>363</v>
      </c>
      <c r="F87" s="6" t="s">
        <v>364</v>
      </c>
      <c r="G87" s="6" t="s">
        <v>48</v>
      </c>
      <c r="H87" s="6" t="s">
        <v>365</v>
      </c>
      <c r="I87" s="7"/>
      <c r="J87" s="7"/>
      <c r="K87" s="7"/>
      <c r="L87" s="7"/>
      <c r="M87" s="7"/>
      <c r="N87" s="8"/>
      <c r="O87" s="6" t="str">
        <f aca="false">IF(OR(I87="Partial",I87="Not implemented"),"Yes","")</f>
        <v/>
      </c>
    </row>
    <row r="88" customFormat="false" ht="23.85" hidden="false" customHeight="false" outlineLevel="0" collapsed="false">
      <c r="A88" s="6" t="n">
        <v>8</v>
      </c>
      <c r="B88" s="6" t="s">
        <v>357</v>
      </c>
      <c r="C88" s="6" t="s">
        <v>366</v>
      </c>
      <c r="D88" s="6" t="s">
        <v>367</v>
      </c>
      <c r="E88" s="6" t="s">
        <v>368</v>
      </c>
      <c r="F88" s="6" t="s">
        <v>369</v>
      </c>
      <c r="G88" s="6" t="s">
        <v>48</v>
      </c>
      <c r="H88" s="6" t="s">
        <v>370</v>
      </c>
      <c r="I88" s="7"/>
      <c r="J88" s="7"/>
      <c r="K88" s="7"/>
      <c r="L88" s="7"/>
      <c r="M88" s="7"/>
      <c r="N88" s="8"/>
      <c r="O88" s="6" t="str">
        <f aca="false">IF(OR(I88="Partial",I88="Not implemented"),"Yes","")</f>
        <v/>
      </c>
    </row>
    <row r="89" customFormat="false" ht="23.85" hidden="false" customHeight="false" outlineLevel="0" collapsed="false">
      <c r="A89" s="6" t="n">
        <v>8</v>
      </c>
      <c r="B89" s="6" t="s">
        <v>357</v>
      </c>
      <c r="C89" s="6" t="s">
        <v>366</v>
      </c>
      <c r="D89" s="6" t="s">
        <v>367</v>
      </c>
      <c r="E89" s="6" t="s">
        <v>371</v>
      </c>
      <c r="F89" s="6" t="s">
        <v>372</v>
      </c>
      <c r="G89" s="6" t="s">
        <v>48</v>
      </c>
      <c r="H89" s="6" t="s">
        <v>373</v>
      </c>
      <c r="I89" s="7"/>
      <c r="J89" s="7"/>
      <c r="K89" s="7"/>
      <c r="L89" s="7"/>
      <c r="M89" s="7"/>
      <c r="N89" s="8"/>
      <c r="O89" s="6" t="str">
        <f aca="false">IF(OR(I89="Partial",I89="Not implemented"),"Yes","")</f>
        <v/>
      </c>
    </row>
    <row r="90" customFormat="false" ht="15" hidden="false" customHeight="false" outlineLevel="0" collapsed="false">
      <c r="A90" s="6" t="n">
        <v>8</v>
      </c>
      <c r="B90" s="6" t="s">
        <v>357</v>
      </c>
      <c r="C90" s="6" t="s">
        <v>374</v>
      </c>
      <c r="D90" s="6" t="s">
        <v>375</v>
      </c>
      <c r="E90" s="6" t="s">
        <v>376</v>
      </c>
      <c r="F90" s="6" t="s">
        <v>377</v>
      </c>
      <c r="G90" s="6" t="s">
        <v>48</v>
      </c>
      <c r="H90" s="6" t="s">
        <v>147</v>
      </c>
      <c r="I90" s="7"/>
      <c r="J90" s="7"/>
      <c r="K90" s="7"/>
      <c r="L90" s="7"/>
      <c r="M90" s="7"/>
      <c r="N90" s="8"/>
      <c r="O90" s="6" t="str">
        <f aca="false">IF(OR(I90="Partial",I90="Not implemented"),"Yes","")</f>
        <v/>
      </c>
    </row>
    <row r="91" customFormat="false" ht="23.85" hidden="false" customHeight="false" outlineLevel="0" collapsed="false">
      <c r="A91" s="6" t="n">
        <v>8</v>
      </c>
      <c r="B91" s="6" t="s">
        <v>357</v>
      </c>
      <c r="C91" s="6" t="s">
        <v>374</v>
      </c>
      <c r="D91" s="6" t="s">
        <v>375</v>
      </c>
      <c r="E91" s="6" t="s">
        <v>378</v>
      </c>
      <c r="F91" s="6" t="s">
        <v>379</v>
      </c>
      <c r="G91" s="6" t="s">
        <v>71</v>
      </c>
      <c r="H91" s="6" t="s">
        <v>147</v>
      </c>
      <c r="I91" s="7"/>
      <c r="J91" s="7"/>
      <c r="K91" s="7"/>
      <c r="L91" s="7"/>
      <c r="M91" s="7"/>
      <c r="N91" s="8"/>
      <c r="O91" s="6" t="str">
        <f aca="false">IF(OR(I91="Partial",I91="Not implemented"),"Yes","")</f>
        <v/>
      </c>
    </row>
    <row r="92" customFormat="false" ht="23.85" hidden="false" customHeight="false" outlineLevel="0" collapsed="false">
      <c r="A92" s="6" t="n">
        <v>8</v>
      </c>
      <c r="B92" s="6" t="s">
        <v>357</v>
      </c>
      <c r="C92" s="6" t="s">
        <v>380</v>
      </c>
      <c r="D92" s="6" t="s">
        <v>381</v>
      </c>
      <c r="E92" s="6" t="s">
        <v>382</v>
      </c>
      <c r="F92" s="6" t="s">
        <v>383</v>
      </c>
      <c r="G92" s="6" t="s">
        <v>71</v>
      </c>
      <c r="H92" s="6" t="s">
        <v>147</v>
      </c>
      <c r="I92" s="7"/>
      <c r="J92" s="7"/>
      <c r="K92" s="7"/>
      <c r="L92" s="7"/>
      <c r="M92" s="7"/>
      <c r="N92" s="8"/>
      <c r="O92" s="6" t="str">
        <f aca="false">IF(OR(I92="Partial",I92="Not implemented"),"Yes","")</f>
        <v/>
      </c>
    </row>
    <row r="93" customFormat="false" ht="23.85" hidden="false" customHeight="false" outlineLevel="0" collapsed="false">
      <c r="A93" s="6" t="n">
        <v>8</v>
      </c>
      <c r="B93" s="6" t="s">
        <v>357</v>
      </c>
      <c r="C93" s="6" t="s">
        <v>384</v>
      </c>
      <c r="D93" s="6" t="s">
        <v>385</v>
      </c>
      <c r="E93" s="6" t="s">
        <v>386</v>
      </c>
      <c r="F93" s="6" t="s">
        <v>387</v>
      </c>
      <c r="G93" s="6" t="s">
        <v>71</v>
      </c>
      <c r="H93" s="6" t="s">
        <v>147</v>
      </c>
      <c r="I93" s="7"/>
      <c r="J93" s="7"/>
      <c r="K93" s="7"/>
      <c r="L93" s="7"/>
      <c r="M93" s="7"/>
      <c r="N93" s="8"/>
      <c r="O93" s="6" t="str">
        <f aca="false">IF(OR(I93="Partial",I93="Not implemented"),"Yes","")</f>
        <v/>
      </c>
    </row>
    <row r="94" customFormat="false" ht="23.85" hidden="false" customHeight="false" outlineLevel="0" collapsed="false">
      <c r="A94" s="6" t="n">
        <v>8</v>
      </c>
      <c r="B94" s="6" t="s">
        <v>357</v>
      </c>
      <c r="C94" s="6" t="s">
        <v>384</v>
      </c>
      <c r="D94" s="6" t="s">
        <v>385</v>
      </c>
      <c r="E94" s="6" t="s">
        <v>388</v>
      </c>
      <c r="F94" s="6" t="s">
        <v>389</v>
      </c>
      <c r="G94" s="6" t="s">
        <v>71</v>
      </c>
      <c r="H94" s="6" t="s">
        <v>147</v>
      </c>
      <c r="I94" s="7"/>
      <c r="J94" s="7"/>
      <c r="K94" s="7"/>
      <c r="L94" s="7"/>
      <c r="M94" s="7"/>
      <c r="N94" s="8"/>
      <c r="O94" s="6" t="str">
        <f aca="false">IF(OR(I94="Partial",I94="Not implemented"),"Yes","")</f>
        <v/>
      </c>
    </row>
    <row r="95" customFormat="false" ht="15" hidden="false" customHeight="false" outlineLevel="0" collapsed="false">
      <c r="A95" s="6" t="n">
        <v>9</v>
      </c>
      <c r="B95" s="6" t="s">
        <v>390</v>
      </c>
      <c r="C95" s="6" t="s">
        <v>391</v>
      </c>
      <c r="D95" s="6" t="s">
        <v>392</v>
      </c>
      <c r="E95" s="6" t="s">
        <v>393</v>
      </c>
      <c r="F95" s="6" t="s">
        <v>394</v>
      </c>
      <c r="G95" s="6" t="s">
        <v>71</v>
      </c>
      <c r="H95" s="6" t="s">
        <v>147</v>
      </c>
      <c r="I95" s="7"/>
      <c r="J95" s="7"/>
      <c r="K95" s="7"/>
      <c r="L95" s="7"/>
      <c r="M95" s="7"/>
      <c r="N95" s="8"/>
      <c r="O95" s="6" t="str">
        <f aca="false">IF(OR(I95="Partial",I95="Not implemented"),"Yes","")</f>
        <v/>
      </c>
    </row>
    <row r="96" customFormat="false" ht="15" hidden="false" customHeight="false" outlineLevel="0" collapsed="false">
      <c r="A96" s="6" t="n">
        <v>9</v>
      </c>
      <c r="B96" s="6" t="s">
        <v>390</v>
      </c>
      <c r="C96" s="6" t="s">
        <v>391</v>
      </c>
      <c r="D96" s="6" t="s">
        <v>392</v>
      </c>
      <c r="E96" s="6" t="s">
        <v>395</v>
      </c>
      <c r="F96" s="6" t="s">
        <v>396</v>
      </c>
      <c r="G96" s="6" t="s">
        <v>133</v>
      </c>
      <c r="H96" s="6" t="s">
        <v>147</v>
      </c>
      <c r="I96" s="7"/>
      <c r="J96" s="7"/>
      <c r="K96" s="7"/>
      <c r="L96" s="7"/>
      <c r="M96" s="7"/>
      <c r="N96" s="8"/>
      <c r="O96" s="6" t="str">
        <f aca="false">IF(OR(I96="Partial",I96="Not implemented"),"Yes","")</f>
        <v/>
      </c>
    </row>
    <row r="97" customFormat="false" ht="15" hidden="false" customHeight="false" outlineLevel="0" collapsed="false">
      <c r="A97" s="6" t="n">
        <v>9</v>
      </c>
      <c r="B97" s="6" t="s">
        <v>390</v>
      </c>
      <c r="C97" s="6" t="s">
        <v>397</v>
      </c>
      <c r="D97" s="6" t="s">
        <v>398</v>
      </c>
      <c r="E97" s="6" t="s">
        <v>399</v>
      </c>
      <c r="F97" s="6" t="s">
        <v>400</v>
      </c>
      <c r="G97" s="6" t="s">
        <v>133</v>
      </c>
      <c r="H97" s="6" t="s">
        <v>147</v>
      </c>
      <c r="I97" s="7"/>
      <c r="J97" s="7"/>
      <c r="K97" s="7"/>
      <c r="L97" s="7"/>
      <c r="M97" s="7"/>
      <c r="N97" s="8"/>
      <c r="O97" s="6" t="str">
        <f aca="false">IF(OR(I97="Partial",I97="Not implemented"),"Yes","")</f>
        <v/>
      </c>
    </row>
    <row r="98" customFormat="false" ht="15" hidden="false" customHeight="false" outlineLevel="0" collapsed="false">
      <c r="A98" s="6" t="n">
        <v>9</v>
      </c>
      <c r="B98" s="6" t="s">
        <v>390</v>
      </c>
      <c r="C98" s="6" t="s">
        <v>397</v>
      </c>
      <c r="D98" s="6" t="s">
        <v>398</v>
      </c>
      <c r="E98" s="6" t="s">
        <v>401</v>
      </c>
      <c r="F98" s="6" t="s">
        <v>402</v>
      </c>
      <c r="G98" s="6" t="s">
        <v>71</v>
      </c>
      <c r="H98" s="6" t="s">
        <v>147</v>
      </c>
      <c r="I98" s="7"/>
      <c r="J98" s="7"/>
      <c r="K98" s="7"/>
      <c r="L98" s="7"/>
      <c r="M98" s="7"/>
      <c r="N98" s="8"/>
      <c r="O98" s="6" t="str">
        <f aca="false">IF(OR(I98="Partial",I98="Not implemented"),"Yes","")</f>
        <v/>
      </c>
    </row>
    <row r="99" customFormat="false" ht="15" hidden="false" customHeight="false" outlineLevel="0" collapsed="false">
      <c r="A99" s="6" t="n">
        <v>9</v>
      </c>
      <c r="B99" s="6" t="s">
        <v>390</v>
      </c>
      <c r="C99" s="6" t="s">
        <v>403</v>
      </c>
      <c r="D99" s="6" t="s">
        <v>404</v>
      </c>
      <c r="E99" s="6" t="s">
        <v>405</v>
      </c>
      <c r="F99" s="6" t="s">
        <v>406</v>
      </c>
      <c r="G99" s="6" t="s">
        <v>71</v>
      </c>
      <c r="H99" s="6" t="s">
        <v>147</v>
      </c>
      <c r="I99" s="7"/>
      <c r="J99" s="7"/>
      <c r="K99" s="7"/>
      <c r="L99" s="7"/>
      <c r="M99" s="7"/>
      <c r="N99" s="8"/>
      <c r="O99" s="6" t="str">
        <f aca="false">IF(OR(I99="Partial",I99="Not implemented"),"Yes","")</f>
        <v/>
      </c>
    </row>
    <row r="100" customFormat="false" ht="15" hidden="false" customHeight="false" outlineLevel="0" collapsed="false">
      <c r="A100" s="6" t="n">
        <v>9</v>
      </c>
      <c r="B100" s="6" t="s">
        <v>390</v>
      </c>
      <c r="C100" s="6" t="s">
        <v>403</v>
      </c>
      <c r="D100" s="6" t="s">
        <v>404</v>
      </c>
      <c r="E100" s="6" t="s">
        <v>407</v>
      </c>
      <c r="F100" s="6" t="s">
        <v>408</v>
      </c>
      <c r="G100" s="6" t="s">
        <v>71</v>
      </c>
      <c r="H100" s="6" t="s">
        <v>147</v>
      </c>
      <c r="I100" s="7"/>
      <c r="J100" s="7"/>
      <c r="K100" s="7"/>
      <c r="L100" s="7"/>
      <c r="M100" s="7"/>
      <c r="N100" s="8"/>
      <c r="O100" s="6" t="str">
        <f aca="false">IF(OR(I100="Partial",I100="Not implemented"),"Yes","")</f>
        <v/>
      </c>
    </row>
    <row r="101" customFormat="false" ht="15" hidden="false" customHeight="false" outlineLevel="0" collapsed="false">
      <c r="A101" s="6" t="n">
        <v>9</v>
      </c>
      <c r="B101" s="6" t="s">
        <v>390</v>
      </c>
      <c r="C101" s="6" t="s">
        <v>403</v>
      </c>
      <c r="D101" s="6" t="s">
        <v>404</v>
      </c>
      <c r="E101" s="6" t="s">
        <v>409</v>
      </c>
      <c r="F101" s="6" t="s">
        <v>410</v>
      </c>
      <c r="G101" s="6" t="s">
        <v>133</v>
      </c>
      <c r="H101" s="6" t="s">
        <v>147</v>
      </c>
      <c r="I101" s="7"/>
      <c r="J101" s="7"/>
      <c r="K101" s="7"/>
      <c r="L101" s="7"/>
      <c r="M101" s="7"/>
      <c r="N101" s="8"/>
      <c r="O101" s="6" t="str">
        <f aca="false">IF(OR(I101="Partial",I101="Not implemented"),"Yes","")</f>
        <v/>
      </c>
    </row>
    <row r="102" customFormat="false" ht="23.85" hidden="false" customHeight="false" outlineLevel="0" collapsed="false">
      <c r="A102" s="6" t="n">
        <v>9</v>
      </c>
      <c r="B102" s="6" t="s">
        <v>390</v>
      </c>
      <c r="C102" s="6" t="s">
        <v>411</v>
      </c>
      <c r="D102" s="6" t="s">
        <v>412</v>
      </c>
      <c r="E102" s="6" t="s">
        <v>413</v>
      </c>
      <c r="F102" s="6" t="s">
        <v>414</v>
      </c>
      <c r="G102" s="6" t="s">
        <v>71</v>
      </c>
      <c r="H102" s="6" t="s">
        <v>147</v>
      </c>
      <c r="I102" s="7"/>
      <c r="J102" s="7"/>
      <c r="K102" s="7"/>
      <c r="L102" s="7"/>
      <c r="M102" s="7"/>
      <c r="N102" s="8"/>
      <c r="O102" s="6" t="str">
        <f aca="false">IF(OR(I102="Partial",I102="Not implemented"),"Yes","")</f>
        <v/>
      </c>
    </row>
    <row r="103" customFormat="false" ht="23.85" hidden="false" customHeight="false" outlineLevel="0" collapsed="false">
      <c r="A103" s="6" t="n">
        <v>9</v>
      </c>
      <c r="B103" s="6" t="s">
        <v>390</v>
      </c>
      <c r="C103" s="6" t="s">
        <v>411</v>
      </c>
      <c r="D103" s="6" t="s">
        <v>412</v>
      </c>
      <c r="E103" s="6" t="s">
        <v>415</v>
      </c>
      <c r="F103" s="6" t="s">
        <v>416</v>
      </c>
      <c r="G103" s="6" t="s">
        <v>133</v>
      </c>
      <c r="H103" s="6" t="s">
        <v>147</v>
      </c>
      <c r="I103" s="7"/>
      <c r="J103" s="7"/>
      <c r="K103" s="7"/>
      <c r="L103" s="7"/>
      <c r="M103" s="7"/>
      <c r="N103" s="8"/>
      <c r="O103" s="6" t="str">
        <f aca="false">IF(OR(I103="Partial",I103="Not implemented"),"Yes","")</f>
        <v/>
      </c>
    </row>
    <row r="104" customFormat="false" ht="15" hidden="false" customHeight="false" outlineLevel="0" collapsed="false">
      <c r="A104" s="6" t="n">
        <v>9</v>
      </c>
      <c r="B104" s="6" t="s">
        <v>390</v>
      </c>
      <c r="C104" s="6" t="s">
        <v>417</v>
      </c>
      <c r="D104" s="6" t="s">
        <v>418</v>
      </c>
      <c r="E104" s="6" t="s">
        <v>419</v>
      </c>
      <c r="F104" s="6" t="s">
        <v>420</v>
      </c>
      <c r="G104" s="6" t="s">
        <v>133</v>
      </c>
      <c r="H104" s="6" t="s">
        <v>147</v>
      </c>
      <c r="I104" s="7"/>
      <c r="J104" s="7"/>
      <c r="K104" s="7"/>
      <c r="L104" s="7"/>
      <c r="M104" s="7"/>
      <c r="N104" s="8"/>
      <c r="O104" s="6" t="str">
        <f aca="false">IF(OR(I104="Partial",I104="Not implemented"),"Yes","")</f>
        <v/>
      </c>
    </row>
    <row r="105" customFormat="false" ht="15" hidden="false" customHeight="false" outlineLevel="0" collapsed="false">
      <c r="A105" s="6" t="n">
        <v>9</v>
      </c>
      <c r="B105" s="6" t="s">
        <v>390</v>
      </c>
      <c r="C105" s="6" t="s">
        <v>417</v>
      </c>
      <c r="D105" s="6" t="s">
        <v>418</v>
      </c>
      <c r="E105" s="6" t="s">
        <v>421</v>
      </c>
      <c r="F105" s="6" t="s">
        <v>422</v>
      </c>
      <c r="G105" s="6" t="s">
        <v>133</v>
      </c>
      <c r="H105" s="6" t="s">
        <v>147</v>
      </c>
      <c r="I105" s="7"/>
      <c r="J105" s="7"/>
      <c r="K105" s="7"/>
      <c r="L105" s="7"/>
      <c r="M105" s="7"/>
      <c r="N105" s="8"/>
      <c r="O105" s="6" t="str">
        <f aca="false">IF(OR(I105="Partial",I105="Not implemented"),"Yes","")</f>
        <v/>
      </c>
    </row>
    <row r="106" customFormat="false" ht="23.85" hidden="false" customHeight="false" outlineLevel="0" collapsed="false">
      <c r="A106" s="6" t="n">
        <v>9</v>
      </c>
      <c r="B106" s="6" t="s">
        <v>390</v>
      </c>
      <c r="C106" s="6" t="s">
        <v>423</v>
      </c>
      <c r="D106" s="6" t="s">
        <v>424</v>
      </c>
      <c r="E106" s="6" t="s">
        <v>425</v>
      </c>
      <c r="F106" s="6" t="s">
        <v>426</v>
      </c>
      <c r="G106" s="6" t="s">
        <v>71</v>
      </c>
      <c r="H106" s="6" t="s">
        <v>147</v>
      </c>
      <c r="I106" s="7"/>
      <c r="J106" s="7"/>
      <c r="K106" s="7"/>
      <c r="L106" s="7"/>
      <c r="M106" s="7"/>
      <c r="N106" s="8"/>
      <c r="O106" s="6" t="str">
        <f aca="false">IF(OR(I106="Partial",I106="Not implemented"),"Yes","")</f>
        <v/>
      </c>
    </row>
    <row r="107" customFormat="false" ht="15" hidden="false" customHeight="false" outlineLevel="0" collapsed="false">
      <c r="A107" s="6" t="n">
        <v>9</v>
      </c>
      <c r="B107" s="6" t="s">
        <v>390</v>
      </c>
      <c r="C107" s="6" t="s">
        <v>423</v>
      </c>
      <c r="D107" s="6" t="s">
        <v>424</v>
      </c>
      <c r="E107" s="6" t="s">
        <v>427</v>
      </c>
      <c r="F107" s="6" t="s">
        <v>428</v>
      </c>
      <c r="G107" s="6" t="s">
        <v>71</v>
      </c>
      <c r="H107" s="6" t="s">
        <v>147</v>
      </c>
      <c r="I107" s="7"/>
      <c r="J107" s="7"/>
      <c r="K107" s="7"/>
      <c r="L107" s="7"/>
      <c r="M107" s="7"/>
      <c r="N107" s="8"/>
      <c r="O107" s="6" t="str">
        <f aca="false">IF(OR(I107="Partial",I107="Not implemented"),"Yes","")</f>
        <v/>
      </c>
    </row>
  </sheetData>
  <autoFilter ref="A1:O107"/>
  <conditionalFormatting sqref="A2:O107">
    <cfRule type="expression" priority="2" aboveAverage="0" equalAverage="0" bottom="0" percent="0" rank="0" text="" dxfId="5">
      <formula>AND($L2="High",$O2="Yes")</formula>
    </cfRule>
  </conditionalFormatting>
  <conditionalFormatting sqref="O2:O107">
    <cfRule type="cellIs" priority="3" operator="equal" aboveAverage="0" equalAverage="0" bottom="0" percent="0" rank="0" text="" dxfId="6">
      <formula>"Yes"</formula>
    </cfRule>
  </conditionalFormatting>
  <dataValidations count="3">
    <dataValidation allowBlank="true" error="Choose a value from the list" errorStyle="stop" errorTitle="Status" operator="between" showDropDown="false" showErrorMessage="false" showInputMessage="false" sqref="I2:I107" type="list">
      <formula1>"Implemented,Partial,Not implemented,Not applicable"</formula1>
      <formula2>0</formula2>
    </dataValidation>
    <dataValidation allowBlank="true" errorStyle="stop" operator="between" showDropDown="false" showErrorMessage="false" showInputMessage="false" sqref="L2:L107" type="list">
      <formula1>"High,Medium,Low"</formula1>
      <formula2>0</formula2>
    </dataValidation>
    <dataValidation allowBlank="true" errorStyle="stop" operator="between" showDropDown="false" showErrorMessage="false" showInputMessage="false" sqref="M2:M107" type="list">
      <formula1>"ISSO,Platform lead,OCFP,Records officer,Admin,Developer"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8" min="2" style="0" width="15"/>
  </cols>
  <sheetData>
    <row r="1" customFormat="false" ht="15" hidden="false" customHeight="false" outlineLevel="0" collapsed="false">
      <c r="A1" s="9" t="s">
        <v>429</v>
      </c>
    </row>
    <row r="2" customFormat="false" ht="23.85" hidden="false" customHeight="false" outlineLevel="0" collapsed="false">
      <c r="A2" s="5" t="s">
        <v>34</v>
      </c>
      <c r="B2" s="5" t="s">
        <v>430</v>
      </c>
      <c r="C2" s="5" t="s">
        <v>431</v>
      </c>
      <c r="D2" s="5" t="s">
        <v>50</v>
      </c>
      <c r="E2" s="5" t="s">
        <v>432</v>
      </c>
      <c r="F2" s="5" t="s">
        <v>433</v>
      </c>
      <c r="G2" s="5" t="s">
        <v>434</v>
      </c>
      <c r="H2" s="5" t="s">
        <v>435</v>
      </c>
    </row>
    <row r="3" customFormat="false" ht="15" hidden="false" customHeight="false" outlineLevel="0" collapsed="false">
      <c r="A3" s="10" t="s">
        <v>436</v>
      </c>
      <c r="B3" s="10" t="n">
        <f aca="false">COUNTIF('Findings log'!$A$2:$A$107,1)</f>
        <v>14</v>
      </c>
      <c r="C3" s="10" t="n">
        <f aca="false">COUNTIFS('Findings log'!$A$2:$A$107,1,'Findings log'!$I$2:$I$107,"Implemented")</f>
        <v>0</v>
      </c>
      <c r="D3" s="10" t="n">
        <f aca="false">COUNTIFS('Findings log'!$A$2:$A$107,1,'Findings log'!$I$2:$I$107,"Partial")</f>
        <v>1</v>
      </c>
      <c r="E3" s="10" t="n">
        <f aca="false">COUNTIFS('Findings log'!$A$2:$A$107,1,'Findings log'!$I$2:$I$107,"Not implemented")</f>
        <v>0</v>
      </c>
      <c r="F3" s="10" t="n">
        <f aca="false">COUNTIFS('Findings log'!$A$2:$A$107,1,'Findings log'!$I$2:$I$107,"Not applicable")</f>
        <v>0</v>
      </c>
      <c r="G3" s="10" t="n">
        <f aca="false">B3-SUM(C3:F3)</f>
        <v>13</v>
      </c>
      <c r="H3" s="10" t="n">
        <f aca="false">D3+E3</f>
        <v>1</v>
      </c>
    </row>
    <row r="4" customFormat="false" ht="15" hidden="false" customHeight="false" outlineLevel="0" collapsed="false">
      <c r="A4" s="10" t="s">
        <v>437</v>
      </c>
      <c r="B4" s="10" t="n">
        <f aca="false">COUNTIF('Findings log'!$A$2:$A$107,2)</f>
        <v>13</v>
      </c>
      <c r="C4" s="10" t="n">
        <f aca="false">COUNTIFS('Findings log'!$A$2:$A$107,2,'Findings log'!$I$2:$I$107,"Implemented")</f>
        <v>0</v>
      </c>
      <c r="D4" s="10" t="n">
        <f aca="false">COUNTIFS('Findings log'!$A$2:$A$107,2,'Findings log'!$I$2:$I$107,"Partial")</f>
        <v>0</v>
      </c>
      <c r="E4" s="10" t="n">
        <f aca="false">COUNTIFS('Findings log'!$A$2:$A$107,2,'Findings log'!$I$2:$I$107,"Not implemented")</f>
        <v>0</v>
      </c>
      <c r="F4" s="10" t="n">
        <f aca="false">COUNTIFS('Findings log'!$A$2:$A$107,2,'Findings log'!$I$2:$I$107,"Not applicable")</f>
        <v>0</v>
      </c>
      <c r="G4" s="10" t="n">
        <f aca="false">B4-SUM(C4:F4)</f>
        <v>13</v>
      </c>
      <c r="H4" s="10" t="n">
        <f aca="false">D4+E4</f>
        <v>0</v>
      </c>
    </row>
    <row r="5" customFormat="false" ht="15" hidden="false" customHeight="false" outlineLevel="0" collapsed="false">
      <c r="A5" s="10" t="s">
        <v>438</v>
      </c>
      <c r="B5" s="10" t="n">
        <f aca="false">COUNTIF('Findings log'!$A$2:$A$107,3)</f>
        <v>15</v>
      </c>
      <c r="C5" s="10" t="n">
        <f aca="false">COUNTIFS('Findings log'!$A$2:$A$107,3,'Findings log'!$I$2:$I$107,"Implemented")</f>
        <v>0</v>
      </c>
      <c r="D5" s="10" t="n">
        <f aca="false">COUNTIFS('Findings log'!$A$2:$A$107,3,'Findings log'!$I$2:$I$107,"Partial")</f>
        <v>0</v>
      </c>
      <c r="E5" s="10" t="n">
        <f aca="false">COUNTIFS('Findings log'!$A$2:$A$107,3,'Findings log'!$I$2:$I$107,"Not implemented")</f>
        <v>0</v>
      </c>
      <c r="F5" s="10" t="n">
        <f aca="false">COUNTIFS('Findings log'!$A$2:$A$107,3,'Findings log'!$I$2:$I$107,"Not applicable")</f>
        <v>0</v>
      </c>
      <c r="G5" s="10" t="n">
        <f aca="false">B5-SUM(C5:F5)</f>
        <v>15</v>
      </c>
      <c r="H5" s="10" t="n">
        <f aca="false">D5+E5</f>
        <v>0</v>
      </c>
    </row>
    <row r="6" customFormat="false" ht="15" hidden="false" customHeight="false" outlineLevel="0" collapsed="false">
      <c r="A6" s="10" t="s">
        <v>439</v>
      </c>
      <c r="B6" s="10" t="n">
        <f aca="false">COUNTIF('Findings log'!$A$2:$A$107,4)</f>
        <v>10</v>
      </c>
      <c r="C6" s="10" t="n">
        <f aca="false">COUNTIFS('Findings log'!$A$2:$A$107,4,'Findings log'!$I$2:$I$107,"Implemented")</f>
        <v>0</v>
      </c>
      <c r="D6" s="10" t="n">
        <f aca="false">COUNTIFS('Findings log'!$A$2:$A$107,4,'Findings log'!$I$2:$I$107,"Partial")</f>
        <v>0</v>
      </c>
      <c r="E6" s="10" t="n">
        <f aca="false">COUNTIFS('Findings log'!$A$2:$A$107,4,'Findings log'!$I$2:$I$107,"Not implemented")</f>
        <v>0</v>
      </c>
      <c r="F6" s="10" t="n">
        <f aca="false">COUNTIFS('Findings log'!$A$2:$A$107,4,'Findings log'!$I$2:$I$107,"Not applicable")</f>
        <v>0</v>
      </c>
      <c r="G6" s="10" t="n">
        <f aca="false">B6-SUM(C6:F6)</f>
        <v>10</v>
      </c>
      <c r="H6" s="10" t="n">
        <f aca="false">D6+E6</f>
        <v>0</v>
      </c>
    </row>
    <row r="7" customFormat="false" ht="15" hidden="false" customHeight="false" outlineLevel="0" collapsed="false">
      <c r="A7" s="10" t="s">
        <v>440</v>
      </c>
      <c r="B7" s="10" t="n">
        <f aca="false">COUNTIF('Findings log'!$A$2:$A$107,5)</f>
        <v>10</v>
      </c>
      <c r="C7" s="10" t="n">
        <f aca="false">COUNTIFS('Findings log'!$A$2:$A$107,5,'Findings log'!$I$2:$I$107,"Implemented")</f>
        <v>0</v>
      </c>
      <c r="D7" s="10" t="n">
        <f aca="false">COUNTIFS('Findings log'!$A$2:$A$107,5,'Findings log'!$I$2:$I$107,"Partial")</f>
        <v>0</v>
      </c>
      <c r="E7" s="10" t="n">
        <f aca="false">COUNTIFS('Findings log'!$A$2:$A$107,5,'Findings log'!$I$2:$I$107,"Not implemented")</f>
        <v>0</v>
      </c>
      <c r="F7" s="10" t="n">
        <f aca="false">COUNTIFS('Findings log'!$A$2:$A$107,5,'Findings log'!$I$2:$I$107,"Not applicable")</f>
        <v>0</v>
      </c>
      <c r="G7" s="10" t="n">
        <f aca="false">B7-SUM(C7:F7)</f>
        <v>10</v>
      </c>
      <c r="H7" s="10" t="n">
        <f aca="false">D7+E7</f>
        <v>0</v>
      </c>
    </row>
    <row r="8" customFormat="false" ht="15" hidden="false" customHeight="false" outlineLevel="0" collapsed="false">
      <c r="A8" s="10" t="s">
        <v>441</v>
      </c>
      <c r="B8" s="10" t="n">
        <f aca="false">COUNTIF('Findings log'!$A$2:$A$107,6)</f>
        <v>14</v>
      </c>
      <c r="C8" s="10" t="n">
        <f aca="false">COUNTIFS('Findings log'!$A$2:$A$107,6,'Findings log'!$I$2:$I$107,"Implemented")</f>
        <v>0</v>
      </c>
      <c r="D8" s="10" t="n">
        <f aca="false">COUNTIFS('Findings log'!$A$2:$A$107,6,'Findings log'!$I$2:$I$107,"Partial")</f>
        <v>0</v>
      </c>
      <c r="E8" s="10" t="n">
        <f aca="false">COUNTIFS('Findings log'!$A$2:$A$107,6,'Findings log'!$I$2:$I$107,"Not implemented")</f>
        <v>0</v>
      </c>
      <c r="F8" s="10" t="n">
        <f aca="false">COUNTIFS('Findings log'!$A$2:$A$107,6,'Findings log'!$I$2:$I$107,"Not applicable")</f>
        <v>0</v>
      </c>
      <c r="G8" s="10" t="n">
        <f aca="false">B8-SUM(C8:F8)</f>
        <v>14</v>
      </c>
      <c r="H8" s="10" t="n">
        <f aca="false">D8+E8</f>
        <v>0</v>
      </c>
    </row>
    <row r="9" customFormat="false" ht="15" hidden="false" customHeight="false" outlineLevel="0" collapsed="false">
      <c r="A9" s="10" t="s">
        <v>442</v>
      </c>
      <c r="B9" s="10" t="n">
        <f aca="false">COUNTIF('Findings log'!$A$2:$A$107,7)</f>
        <v>8</v>
      </c>
      <c r="C9" s="10" t="n">
        <f aca="false">COUNTIFS('Findings log'!$A$2:$A$107,7,'Findings log'!$I$2:$I$107,"Implemented")</f>
        <v>0</v>
      </c>
      <c r="D9" s="10" t="n">
        <f aca="false">COUNTIFS('Findings log'!$A$2:$A$107,7,'Findings log'!$I$2:$I$107,"Partial")</f>
        <v>0</v>
      </c>
      <c r="E9" s="10" t="n">
        <f aca="false">COUNTIFS('Findings log'!$A$2:$A$107,7,'Findings log'!$I$2:$I$107,"Not implemented")</f>
        <v>0</v>
      </c>
      <c r="F9" s="10" t="n">
        <f aca="false">COUNTIFS('Findings log'!$A$2:$A$107,7,'Findings log'!$I$2:$I$107,"Not applicable")</f>
        <v>0</v>
      </c>
      <c r="G9" s="10" t="n">
        <f aca="false">B9-SUM(C9:F9)</f>
        <v>8</v>
      </c>
      <c r="H9" s="10" t="n">
        <f aca="false">D9+E9</f>
        <v>0</v>
      </c>
    </row>
    <row r="10" customFormat="false" ht="15" hidden="false" customHeight="false" outlineLevel="0" collapsed="false">
      <c r="A10" s="10" t="s">
        <v>443</v>
      </c>
      <c r="B10" s="10" t="n">
        <f aca="false">COUNTIF('Findings log'!$A$2:$A$107,8)</f>
        <v>9</v>
      </c>
      <c r="C10" s="10" t="n">
        <f aca="false">COUNTIFS('Findings log'!$A$2:$A$107,8,'Findings log'!$I$2:$I$107,"Implemented")</f>
        <v>0</v>
      </c>
      <c r="D10" s="10" t="n">
        <f aca="false">COUNTIFS('Findings log'!$A$2:$A$107,8,'Findings log'!$I$2:$I$107,"Partial")</f>
        <v>0</v>
      </c>
      <c r="E10" s="10" t="n">
        <f aca="false">COUNTIFS('Findings log'!$A$2:$A$107,8,'Findings log'!$I$2:$I$107,"Not implemented")</f>
        <v>0</v>
      </c>
      <c r="F10" s="10" t="n">
        <f aca="false">COUNTIFS('Findings log'!$A$2:$A$107,8,'Findings log'!$I$2:$I$107,"Not applicable")</f>
        <v>0</v>
      </c>
      <c r="G10" s="10" t="n">
        <f aca="false">B10-SUM(C10:F10)</f>
        <v>9</v>
      </c>
      <c r="H10" s="10" t="n">
        <f aca="false">D10+E10</f>
        <v>0</v>
      </c>
    </row>
    <row r="11" customFormat="false" ht="15" hidden="false" customHeight="false" outlineLevel="0" collapsed="false">
      <c r="A11" s="10" t="s">
        <v>444</v>
      </c>
      <c r="B11" s="10" t="n">
        <f aca="false">COUNTIF('Findings log'!$A$2:$A$107,9)</f>
        <v>13</v>
      </c>
      <c r="C11" s="10" t="n">
        <f aca="false">COUNTIFS('Findings log'!$A$2:$A$107,9,'Findings log'!$I$2:$I$107,"Implemented")</f>
        <v>0</v>
      </c>
      <c r="D11" s="10" t="n">
        <f aca="false">COUNTIFS('Findings log'!$A$2:$A$107,9,'Findings log'!$I$2:$I$107,"Partial")</f>
        <v>0</v>
      </c>
      <c r="E11" s="10" t="n">
        <f aca="false">COUNTIFS('Findings log'!$A$2:$A$107,9,'Findings log'!$I$2:$I$107,"Not implemented")</f>
        <v>0</v>
      </c>
      <c r="F11" s="10" t="n">
        <f aca="false">COUNTIFS('Findings log'!$A$2:$A$107,9,'Findings log'!$I$2:$I$107,"Not applicable")</f>
        <v>0</v>
      </c>
      <c r="G11" s="10" t="n">
        <f aca="false">B11-SUM(C11:F11)</f>
        <v>13</v>
      </c>
      <c r="H11" s="10" t="n">
        <f aca="false">D11+E11</f>
        <v>0</v>
      </c>
    </row>
    <row r="12" customFormat="false" ht="15" hidden="false" customHeight="false" outlineLevel="0" collapsed="false">
      <c r="A12" s="11" t="s">
        <v>445</v>
      </c>
      <c r="B12" s="11" t="n">
        <f aca="false">SUM(B3:B11)</f>
        <v>106</v>
      </c>
      <c r="C12" s="11" t="n">
        <f aca="false">SUM(C3:C11)</f>
        <v>0</v>
      </c>
      <c r="D12" s="11" t="n">
        <f aca="false">SUM(D3:D11)</f>
        <v>1</v>
      </c>
      <c r="E12" s="11" t="n">
        <f aca="false">SUM(E3:E11)</f>
        <v>0</v>
      </c>
      <c r="F12" s="11" t="n">
        <f aca="false">SUM(F3:F11)</f>
        <v>0</v>
      </c>
      <c r="G12" s="11" t="n">
        <f aca="false">SUM(G3:G11)</f>
        <v>105</v>
      </c>
      <c r="H12" s="11" t="n">
        <f aca="false">SUM(H3:H11)</f>
        <v>1</v>
      </c>
    </row>
    <row r="14" customFormat="false" ht="15" hidden="false" customHeight="false" outlineLevel="0" collapsed="false">
      <c r="A14" s="9" t="s">
        <v>446</v>
      </c>
    </row>
    <row r="15" customFormat="false" ht="23.85" hidden="false" customHeight="false" outlineLevel="0" collapsed="false">
      <c r="A15" s="5" t="s">
        <v>447</v>
      </c>
      <c r="B15" s="5" t="s">
        <v>435</v>
      </c>
      <c r="C15" s="5" t="s">
        <v>50</v>
      </c>
      <c r="D15" s="5" t="s">
        <v>432</v>
      </c>
    </row>
    <row r="16" customFormat="false" ht="15" hidden="false" customHeight="false" outlineLevel="0" collapsed="false">
      <c r="A16" s="10" t="s">
        <v>48</v>
      </c>
      <c r="B16" s="10" t="n">
        <f aca="false">COUNTIF('Findings log'!$L$2:$L$107,"High")</f>
        <v>1</v>
      </c>
      <c r="C16" s="10" t="n">
        <f aca="false">COUNTIFS('Findings log'!$L$2:$L$107,"High",'Findings log'!$I$2:$I$107,"Partial")</f>
        <v>1</v>
      </c>
      <c r="D16" s="10" t="n">
        <f aca="false">COUNTIFS('Findings log'!$L$2:$L$107,"High",'Findings log'!$I$2:$I$107,"Not implemented")</f>
        <v>0</v>
      </c>
    </row>
    <row r="17" customFormat="false" ht="15" hidden="false" customHeight="false" outlineLevel="0" collapsed="false">
      <c r="A17" s="10" t="s">
        <v>71</v>
      </c>
      <c r="B17" s="10" t="n">
        <f aca="false">COUNTIF('Findings log'!$L$2:$L$107,"Medium")</f>
        <v>0</v>
      </c>
      <c r="C17" s="10" t="n">
        <f aca="false">COUNTIFS('Findings log'!$L$2:$L$107,"Medium",'Findings log'!$I$2:$I$107,"Partial")</f>
        <v>0</v>
      </c>
      <c r="D17" s="10" t="n">
        <f aca="false">COUNTIFS('Findings log'!$L$2:$L$107,"Medium",'Findings log'!$I$2:$I$107,"Not implemented")</f>
        <v>0</v>
      </c>
    </row>
    <row r="18" customFormat="false" ht="15" hidden="false" customHeight="false" outlineLevel="0" collapsed="false">
      <c r="A18" s="10" t="s">
        <v>133</v>
      </c>
      <c r="B18" s="10" t="n">
        <f aca="false">COUNTIF('Findings log'!$L$2:$L$107,"Low")</f>
        <v>0</v>
      </c>
      <c r="C18" s="10" t="n">
        <f aca="false">COUNTIFS('Findings log'!$L$2:$L$107,"Low",'Findings log'!$I$2:$I$107,"Partial")</f>
        <v>0</v>
      </c>
      <c r="D18" s="10" t="n">
        <f aca="false">COUNTIFS('Findings log'!$L$2:$L$107,"Low",'Findings log'!$I$2:$I$107,"Not implemented")</f>
        <v>0</v>
      </c>
    </row>
    <row r="20" customFormat="false" ht="15" hidden="false" customHeight="false" outlineLevel="0" collapsed="false">
      <c r="A20" s="12" t="s">
        <v>448</v>
      </c>
      <c r="B20" s="13" t="n">
        <f aca="false">COUNTIFS('Findings log'!$L$2:$L$107,"High",'Findings log'!$O$2:$O$107,"Yes")</f>
        <v>1</v>
      </c>
    </row>
    <row r="21" customFormat="false" ht="15" hidden="false" customHeight="false" outlineLevel="0" collapsed="false">
      <c r="A21" s="14" t="s">
        <v>449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2026-09-18T19:06:47Z</dcterms:created>
  <dc:creator>openpyxl</dc:creator>
  <dc:description/>
  <dc:language>en-US</dc:language>
  <cp:lastModifiedBy/>
  <dcterms:modified xsi:type="dcterms:W3CDTF">2026-09-18T19:06:47Z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